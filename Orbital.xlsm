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496\Desktop\ith-WorldBuilding\Tools\PeskyBelterSolSys\"/>
    </mc:Choice>
  </mc:AlternateContent>
  <xr:revisionPtr revIDLastSave="0" documentId="13_ncr:1_{2FE66DBA-EB3A-46F1-9982-5ACFBF832D2C}" xr6:coauthVersionLast="45" xr6:coauthVersionMax="45" xr10:uidLastSave="{00000000-0000-0000-0000-000000000000}"/>
  <bookViews>
    <workbookView xWindow="-98" yWindow="-98" windowWidth="20715" windowHeight="13276" activeTab="4" xr2:uid="{00000000-000D-0000-FFFF-FFFF00000000}"/>
  </bookViews>
  <sheets>
    <sheet name="Data" sheetId="1" r:id="rId1"/>
    <sheet name="delta V" sheetId="2" r:id="rId2"/>
    <sheet name="Transfer" sheetId="4" r:id="rId3"/>
    <sheet name="Transit Time" sheetId="3" r:id="rId4"/>
    <sheet name="Porkchop" sheetId="5" r:id="rId5"/>
  </sheets>
  <functionGroups builtInGroupCount="19">
    <functionGroup name="xlwings"/>
  </functionGroups>
  <definedNames>
    <definedName name="Eccentricity" localSheetId="2">Transfer!$C$22</definedName>
    <definedName name="G">Data!$B$2</definedName>
    <definedName name="GM_primary">Data!$B$4</definedName>
    <definedName name="orbit01">'delta V'!$B$4</definedName>
    <definedName name="orbit02">'delta V'!$C$5</definedName>
    <definedName name="orbit03">'delta V'!$D$6</definedName>
    <definedName name="orbit04">'delta V'!$E$7</definedName>
    <definedName name="orbit05">'delta V'!$F$8</definedName>
    <definedName name="orbit06">'delta V'!$G$9</definedName>
    <definedName name="orbit07">'delta V'!$H$10</definedName>
    <definedName name="orbit08">'delta V'!$I$11</definedName>
    <definedName name="orbit09">'delta V'!$J$12</definedName>
    <definedName name="orbit10">'delta V'!$K$13</definedName>
    <definedName name="orbit11">'delta V'!$L$14</definedName>
    <definedName name="orbit12">'delta V'!$M$15</definedName>
    <definedName name="orbit13">'delta V'!$N$16</definedName>
    <definedName name="orbit14">'delta V'!$O$17</definedName>
    <definedName name="orbit15">'delta V'!$P$18</definedName>
    <definedName name="orbit16">'delta V'!$Q$19</definedName>
    <definedName name="orbit17">'delta V'!$R$20</definedName>
    <definedName name="orbit18">'delta V'!$S$21</definedName>
    <definedName name="orbit19">'delta V'!$T$22</definedName>
    <definedName name="orbit20">'delta V'!$U$23</definedName>
    <definedName name="orbit21">'delta V'!$V$24</definedName>
    <definedName name="orbit22">'delta V'!$W$25</definedName>
    <definedName name="orbit23">'delta V'!$X$26</definedName>
    <definedName name="orbit24">'delta V'!$Y$27</definedName>
    <definedName name="orbit25">'delta V'!$Z$28</definedName>
    <definedName name="orbit26">'delta V'!$AA$29</definedName>
    <definedName name="orbit27">'delta V'!$AB$30</definedName>
    <definedName name="orbit28">'delta V'!$AC$31</definedName>
    <definedName name="orbit29">'delta V'!$AD$32</definedName>
    <definedName name="orbit30">'delta V'!$AE$33</definedName>
    <definedName name="Period">Transfer!$C$23</definedName>
    <definedName name="SemiMajorAxis">Transfer!$C$21</definedName>
    <definedName name="Time_scale">'Transit Time'!$A$36</definedName>
  </definedNames>
  <calcPr calcId="181029"/>
  <extLst>
    <ext xmlns:x14="http://schemas.microsoft.com/office/spreadsheetml/2009/9/main" uri="{8193D73E-4604-4355-AFF4-8A2333D13BE4}">
      <x14:definedNames>
        <x14:definedName name="porkchop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" i="5" l="1"/>
  <c r="D21" i="5"/>
  <c r="D20" i="5"/>
  <c r="C19" i="5"/>
  <c r="D17" i="5"/>
  <c r="D16" i="5"/>
  <c r="D14" i="5"/>
  <c r="D13" i="5"/>
  <c r="E9" i="5"/>
  <c r="C14" i="5" s="1"/>
  <c r="E8" i="5"/>
  <c r="C13" i="5" s="1"/>
  <c r="G2" i="5"/>
  <c r="C21" i="5" l="1"/>
  <c r="C20" i="5"/>
  <c r="C17" i="5"/>
  <c r="C16" i="5"/>
  <c r="S3" i="4"/>
  <c r="T3" i="4" s="1"/>
  <c r="S4" i="4"/>
  <c r="T4" i="4" s="1"/>
  <c r="S5" i="4"/>
  <c r="T5" i="4" s="1"/>
  <c r="S6" i="4"/>
  <c r="T6" i="4" s="1"/>
  <c r="S7" i="4"/>
  <c r="T7" i="4" s="1"/>
  <c r="S8" i="4"/>
  <c r="T8" i="4" s="1"/>
  <c r="S9" i="4"/>
  <c r="T9" i="4" s="1"/>
  <c r="S10" i="4"/>
  <c r="T10" i="4" s="1"/>
  <c r="S11" i="4"/>
  <c r="T11" i="4" s="1"/>
  <c r="S12" i="4"/>
  <c r="T12" i="4" s="1"/>
  <c r="S13" i="4"/>
  <c r="T13" i="4" s="1"/>
  <c r="S14" i="4"/>
  <c r="T14" i="4" s="1"/>
  <c r="S15" i="4"/>
  <c r="T15" i="4" s="1"/>
  <c r="S16" i="4"/>
  <c r="T16" i="4" s="1"/>
  <c r="S17" i="4"/>
  <c r="T17" i="4" s="1"/>
  <c r="S18" i="4"/>
  <c r="T18" i="4" s="1"/>
  <c r="S19" i="4"/>
  <c r="T19" i="4" s="1"/>
  <c r="S20" i="4"/>
  <c r="T20" i="4" s="1"/>
  <c r="S21" i="4"/>
  <c r="T21" i="4" s="1"/>
  <c r="S22" i="4"/>
  <c r="T22" i="4" s="1"/>
  <c r="S23" i="4"/>
  <c r="T23" i="4" s="1"/>
  <c r="S24" i="4"/>
  <c r="T24" i="4" s="1"/>
  <c r="S25" i="4"/>
  <c r="T25" i="4" s="1"/>
  <c r="S26" i="4"/>
  <c r="T26" i="4" s="1"/>
  <c r="S27" i="4"/>
  <c r="T27" i="4" s="1"/>
  <c r="S28" i="4"/>
  <c r="T28" i="4" s="1"/>
  <c r="S29" i="4"/>
  <c r="T29" i="4" s="1"/>
  <c r="S30" i="4"/>
  <c r="T30" i="4" s="1"/>
  <c r="S31" i="4"/>
  <c r="T31" i="4" s="1"/>
  <c r="S2" i="4"/>
  <c r="T2" i="4" s="1"/>
  <c r="C16" i="4" l="1"/>
  <c r="I31" i="4" l="1"/>
  <c r="I28" i="4"/>
  <c r="I29" i="4"/>
  <c r="I30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" i="4"/>
  <c r="B18" i="4"/>
  <c r="B19" i="4"/>
  <c r="B15" i="4"/>
  <c r="C8" i="4" l="1"/>
  <c r="C10" i="4"/>
  <c r="C7" i="4"/>
  <c r="D11" i="3"/>
  <c r="AD33" i="2"/>
  <c r="AE32" i="2" s="1"/>
  <c r="AC32" i="2"/>
  <c r="AD31" i="2" s="1"/>
  <c r="AC33" i="2"/>
  <c r="AE31" i="2" s="1"/>
  <c r="AB31" i="2"/>
  <c r="AB32" i="2"/>
  <c r="AD30" i="2" s="1"/>
  <c r="AB33" i="2"/>
  <c r="AE30" i="2" s="1"/>
  <c r="AA30" i="2"/>
  <c r="AB29" i="2" s="1"/>
  <c r="AA31" i="2"/>
  <c r="AC29" i="2" s="1"/>
  <c r="AA32" i="2"/>
  <c r="AD29" i="2" s="1"/>
  <c r="AA33" i="2"/>
  <c r="AE29" i="2" s="1"/>
  <c r="Z29" i="2"/>
  <c r="AA28" i="2" s="1"/>
  <c r="Z30" i="2"/>
  <c r="AB28" i="2" s="1"/>
  <c r="Z31" i="2"/>
  <c r="AC28" i="2" s="1"/>
  <c r="Z32" i="2"/>
  <c r="AD28" i="2" s="1"/>
  <c r="Z33" i="2"/>
  <c r="AE28" i="2" s="1"/>
  <c r="Y28" i="2"/>
  <c r="Z27" i="2" s="1"/>
  <c r="Y29" i="2"/>
  <c r="AA27" i="2" s="1"/>
  <c r="Y30" i="2"/>
  <c r="AB22" i="2" s="1"/>
  <c r="Y31" i="2"/>
  <c r="AC27" i="2" s="1"/>
  <c r="Y32" i="2"/>
  <c r="AD27" i="2" s="1"/>
  <c r="Y33" i="2"/>
  <c r="AE27" i="2" s="1"/>
  <c r="X27" i="2"/>
  <c r="Y26" i="2" s="1"/>
  <c r="X28" i="2"/>
  <c r="Z26" i="2" s="1"/>
  <c r="X29" i="2"/>
  <c r="AA26" i="2" s="1"/>
  <c r="X30" i="2"/>
  <c r="AB26" i="2" s="1"/>
  <c r="X31" i="2"/>
  <c r="AC26" i="2" s="1"/>
  <c r="X32" i="2"/>
  <c r="AD26" i="2" s="1"/>
  <c r="X33" i="2"/>
  <c r="AE26" i="2" s="1"/>
  <c r="W26" i="2"/>
  <c r="X25" i="2" s="1"/>
  <c r="W27" i="2"/>
  <c r="Y25" i="2" s="1"/>
  <c r="W28" i="2"/>
  <c r="Z25" i="2" s="1"/>
  <c r="W29" i="2"/>
  <c r="AA25" i="2" s="1"/>
  <c r="W30" i="2"/>
  <c r="AB25" i="2" s="1"/>
  <c r="W31" i="2"/>
  <c r="AC25" i="2" s="1"/>
  <c r="W32" i="2"/>
  <c r="AD25" i="2" s="1"/>
  <c r="W33" i="2"/>
  <c r="AE25" i="2" s="1"/>
  <c r="V25" i="2"/>
  <c r="W24" i="2" s="1"/>
  <c r="V26" i="2"/>
  <c r="X24" i="2" s="1"/>
  <c r="V27" i="2"/>
  <c r="Y24" i="2" s="1"/>
  <c r="V28" i="2"/>
  <c r="Z24" i="2" s="1"/>
  <c r="V29" i="2"/>
  <c r="AA24" i="2" s="1"/>
  <c r="V30" i="2"/>
  <c r="AB24" i="2" s="1"/>
  <c r="V31" i="2"/>
  <c r="AC24" i="2" s="1"/>
  <c r="V32" i="2"/>
  <c r="AD24" i="2" s="1"/>
  <c r="V33" i="2"/>
  <c r="AE24" i="2" s="1"/>
  <c r="U24" i="2"/>
  <c r="V23" i="2" s="1"/>
  <c r="U25" i="2"/>
  <c r="W23" i="2" s="1"/>
  <c r="U26" i="2"/>
  <c r="X23" i="2" s="1"/>
  <c r="U27" i="2"/>
  <c r="Y23" i="2" s="1"/>
  <c r="U28" i="2"/>
  <c r="Z23" i="2" s="1"/>
  <c r="U29" i="2"/>
  <c r="AA23" i="2" s="1"/>
  <c r="U30" i="2"/>
  <c r="AB23" i="2" s="1"/>
  <c r="U31" i="2"/>
  <c r="AC23" i="2" s="1"/>
  <c r="U32" i="2"/>
  <c r="AD23" i="2" s="1"/>
  <c r="U33" i="2"/>
  <c r="AE23" i="2" s="1"/>
  <c r="T23" i="2"/>
  <c r="U22" i="2" s="1"/>
  <c r="T24" i="2"/>
  <c r="V22" i="2" s="1"/>
  <c r="T25" i="2"/>
  <c r="W22" i="2" s="1"/>
  <c r="T26" i="2"/>
  <c r="X22" i="2" s="1"/>
  <c r="T27" i="2"/>
  <c r="Y22" i="2" s="1"/>
  <c r="T28" i="2"/>
  <c r="Z22" i="2" s="1"/>
  <c r="T29" i="2"/>
  <c r="AA22" i="2" s="1"/>
  <c r="T30" i="2"/>
  <c r="T31" i="2"/>
  <c r="AC22" i="2" s="1"/>
  <c r="T32" i="2"/>
  <c r="AD22" i="2" s="1"/>
  <c r="T33" i="2"/>
  <c r="AE22" i="2" s="1"/>
  <c r="S22" i="2"/>
  <c r="T21" i="2" s="1"/>
  <c r="S23" i="2"/>
  <c r="U21" i="2" s="1"/>
  <c r="S24" i="2"/>
  <c r="V21" i="2" s="1"/>
  <c r="S25" i="2"/>
  <c r="W21" i="2" s="1"/>
  <c r="S26" i="2"/>
  <c r="X21" i="2" s="1"/>
  <c r="S27" i="2"/>
  <c r="Y21" i="2" s="1"/>
  <c r="S28" i="2"/>
  <c r="Z21" i="2" s="1"/>
  <c r="S29" i="2"/>
  <c r="AA21" i="2" s="1"/>
  <c r="S30" i="2"/>
  <c r="AB21" i="2" s="1"/>
  <c r="S31" i="2"/>
  <c r="AC21" i="2" s="1"/>
  <c r="S32" i="2"/>
  <c r="AD21" i="2" s="1"/>
  <c r="S33" i="2"/>
  <c r="AE21" i="2" s="1"/>
  <c r="R21" i="2"/>
  <c r="S20" i="2" s="1"/>
  <c r="R22" i="2"/>
  <c r="T20" i="2" s="1"/>
  <c r="R23" i="2"/>
  <c r="U20" i="2" s="1"/>
  <c r="R24" i="2"/>
  <c r="V20" i="2" s="1"/>
  <c r="R25" i="2"/>
  <c r="W20" i="2" s="1"/>
  <c r="R26" i="2"/>
  <c r="X20" i="2" s="1"/>
  <c r="R27" i="2"/>
  <c r="Y20" i="2" s="1"/>
  <c r="R28" i="2"/>
  <c r="Z20" i="2" s="1"/>
  <c r="R29" i="2"/>
  <c r="AA20" i="2" s="1"/>
  <c r="R30" i="2"/>
  <c r="AB20" i="2" s="1"/>
  <c r="R31" i="2"/>
  <c r="AC20" i="2" s="1"/>
  <c r="R32" i="2"/>
  <c r="AD20" i="2" s="1"/>
  <c r="R33" i="2"/>
  <c r="AE20" i="2" s="1"/>
  <c r="Q20" i="2"/>
  <c r="R19" i="2" s="1"/>
  <c r="Q21" i="2"/>
  <c r="S19" i="2" s="1"/>
  <c r="Q22" i="2"/>
  <c r="T19" i="2" s="1"/>
  <c r="Q23" i="2"/>
  <c r="U19" i="2" s="1"/>
  <c r="Q24" i="2"/>
  <c r="V19" i="2" s="1"/>
  <c r="Q25" i="2"/>
  <c r="W19" i="2" s="1"/>
  <c r="Q26" i="2"/>
  <c r="X19" i="2" s="1"/>
  <c r="Q27" i="2"/>
  <c r="Y19" i="2" s="1"/>
  <c r="Q28" i="2"/>
  <c r="Z19" i="2" s="1"/>
  <c r="Q29" i="2"/>
  <c r="AA19" i="2" s="1"/>
  <c r="Q30" i="2"/>
  <c r="AB19" i="2" s="1"/>
  <c r="Q31" i="2"/>
  <c r="AC19" i="2" s="1"/>
  <c r="Q32" i="2"/>
  <c r="AD19" i="2" s="1"/>
  <c r="Q33" i="2"/>
  <c r="AE19" i="2" s="1"/>
  <c r="P19" i="2"/>
  <c r="Q18" i="2" s="1"/>
  <c r="P20" i="2"/>
  <c r="R18" i="2" s="1"/>
  <c r="P21" i="2"/>
  <c r="S18" i="2" s="1"/>
  <c r="P22" i="2"/>
  <c r="T18" i="2" s="1"/>
  <c r="P23" i="2"/>
  <c r="U18" i="2" s="1"/>
  <c r="P24" i="2"/>
  <c r="V18" i="2" s="1"/>
  <c r="P25" i="2"/>
  <c r="W18" i="2" s="1"/>
  <c r="P26" i="2"/>
  <c r="X18" i="2" s="1"/>
  <c r="P27" i="2"/>
  <c r="Y18" i="2" s="1"/>
  <c r="P28" i="2"/>
  <c r="Z18" i="2" s="1"/>
  <c r="P29" i="2"/>
  <c r="AA18" i="2" s="1"/>
  <c r="P30" i="2"/>
  <c r="AB18" i="2" s="1"/>
  <c r="P31" i="2"/>
  <c r="AC18" i="2" s="1"/>
  <c r="P32" i="2"/>
  <c r="AD18" i="2" s="1"/>
  <c r="P33" i="2"/>
  <c r="AE18" i="2" s="1"/>
  <c r="O18" i="2"/>
  <c r="P17" i="2" s="1"/>
  <c r="O19" i="2"/>
  <c r="Q17" i="2" s="1"/>
  <c r="O20" i="2"/>
  <c r="R17" i="2" s="1"/>
  <c r="O21" i="2"/>
  <c r="S17" i="2" s="1"/>
  <c r="O22" i="2"/>
  <c r="T17" i="2" s="1"/>
  <c r="O23" i="2"/>
  <c r="U17" i="2" s="1"/>
  <c r="O24" i="2"/>
  <c r="V17" i="2" s="1"/>
  <c r="O25" i="2"/>
  <c r="W17" i="2" s="1"/>
  <c r="O26" i="2"/>
  <c r="X17" i="2" s="1"/>
  <c r="O27" i="2"/>
  <c r="Y17" i="2" s="1"/>
  <c r="O28" i="2"/>
  <c r="Z17" i="2" s="1"/>
  <c r="O29" i="2"/>
  <c r="AA17" i="2" s="1"/>
  <c r="O30" i="2"/>
  <c r="AB17" i="2" s="1"/>
  <c r="O31" i="2"/>
  <c r="AC17" i="2" s="1"/>
  <c r="O32" i="2"/>
  <c r="AD17" i="2" s="1"/>
  <c r="O33" i="2"/>
  <c r="AE17" i="2" s="1"/>
  <c r="N17" i="2"/>
  <c r="O16" i="2" s="1"/>
  <c r="N18" i="2"/>
  <c r="P16" i="2" s="1"/>
  <c r="N19" i="2"/>
  <c r="Q16" i="2" s="1"/>
  <c r="N20" i="2"/>
  <c r="R16" i="2" s="1"/>
  <c r="N21" i="2"/>
  <c r="S16" i="2" s="1"/>
  <c r="N22" i="2"/>
  <c r="T16" i="2" s="1"/>
  <c r="N23" i="2"/>
  <c r="U16" i="2" s="1"/>
  <c r="N24" i="2"/>
  <c r="V16" i="2" s="1"/>
  <c r="N25" i="2"/>
  <c r="W16" i="2" s="1"/>
  <c r="N26" i="2"/>
  <c r="X16" i="2" s="1"/>
  <c r="N27" i="2"/>
  <c r="Y16" i="2" s="1"/>
  <c r="N28" i="2"/>
  <c r="Z16" i="2" s="1"/>
  <c r="N29" i="2"/>
  <c r="AA16" i="2" s="1"/>
  <c r="N30" i="2"/>
  <c r="AB16" i="2" s="1"/>
  <c r="N31" i="2"/>
  <c r="AC16" i="2" s="1"/>
  <c r="N32" i="2"/>
  <c r="AD16" i="2" s="1"/>
  <c r="N33" i="2"/>
  <c r="AE16" i="2" s="1"/>
  <c r="M16" i="2"/>
  <c r="N15" i="2" s="1"/>
  <c r="M17" i="2"/>
  <c r="O15" i="2" s="1"/>
  <c r="M18" i="2"/>
  <c r="P15" i="2" s="1"/>
  <c r="M19" i="2"/>
  <c r="Q15" i="2" s="1"/>
  <c r="M20" i="2"/>
  <c r="R15" i="2" s="1"/>
  <c r="M21" i="2"/>
  <c r="S15" i="2" s="1"/>
  <c r="M22" i="2"/>
  <c r="T15" i="2" s="1"/>
  <c r="M23" i="2"/>
  <c r="U15" i="2" s="1"/>
  <c r="M24" i="2"/>
  <c r="V15" i="2" s="1"/>
  <c r="M25" i="2"/>
  <c r="W15" i="2" s="1"/>
  <c r="M26" i="2"/>
  <c r="X15" i="2" s="1"/>
  <c r="M27" i="2"/>
  <c r="Y15" i="2" s="1"/>
  <c r="M28" i="2"/>
  <c r="Z15" i="2" s="1"/>
  <c r="M29" i="2"/>
  <c r="AA15" i="2" s="1"/>
  <c r="M30" i="2"/>
  <c r="AB15" i="2" s="1"/>
  <c r="M31" i="2"/>
  <c r="AC15" i="2" s="1"/>
  <c r="M32" i="2"/>
  <c r="AD15" i="2" s="1"/>
  <c r="M33" i="2"/>
  <c r="AE15" i="2" s="1"/>
  <c r="L15" i="2"/>
  <c r="M14" i="2" s="1"/>
  <c r="L16" i="2"/>
  <c r="N14" i="2" s="1"/>
  <c r="L17" i="2"/>
  <c r="O14" i="2" s="1"/>
  <c r="L18" i="2"/>
  <c r="P14" i="2" s="1"/>
  <c r="L19" i="2"/>
  <c r="Q14" i="2" s="1"/>
  <c r="L20" i="2"/>
  <c r="R14" i="2" s="1"/>
  <c r="L21" i="2"/>
  <c r="S14" i="2" s="1"/>
  <c r="L22" i="2"/>
  <c r="T14" i="2" s="1"/>
  <c r="L23" i="2"/>
  <c r="U14" i="2" s="1"/>
  <c r="L24" i="2"/>
  <c r="V14" i="2" s="1"/>
  <c r="L25" i="2"/>
  <c r="W14" i="2" s="1"/>
  <c r="L26" i="2"/>
  <c r="X14" i="2" s="1"/>
  <c r="L27" i="2"/>
  <c r="Y14" i="2" s="1"/>
  <c r="L28" i="2"/>
  <c r="Z14" i="2" s="1"/>
  <c r="L29" i="2"/>
  <c r="AA14" i="2" s="1"/>
  <c r="L30" i="2"/>
  <c r="AB14" i="2" s="1"/>
  <c r="L31" i="2"/>
  <c r="AC14" i="2" s="1"/>
  <c r="L32" i="2"/>
  <c r="AD14" i="2" s="1"/>
  <c r="L33" i="2"/>
  <c r="AE14" i="2" s="1"/>
  <c r="C14" i="2"/>
  <c r="L5" i="2" s="1"/>
  <c r="D14" i="2"/>
  <c r="L6" i="2" s="1"/>
  <c r="E14" i="2"/>
  <c r="L7" i="2" s="1"/>
  <c r="F14" i="2"/>
  <c r="L8" i="2" s="1"/>
  <c r="G14" i="2"/>
  <c r="L9" i="2" s="1"/>
  <c r="H14" i="2"/>
  <c r="L10" i="2" s="1"/>
  <c r="I14" i="2"/>
  <c r="L11" i="2" s="1"/>
  <c r="J14" i="2"/>
  <c r="L12" i="2" s="1"/>
  <c r="K14" i="2"/>
  <c r="L13" i="2" s="1"/>
  <c r="C15" i="2"/>
  <c r="M5" i="2" s="1"/>
  <c r="D15" i="2"/>
  <c r="M6" i="2" s="1"/>
  <c r="E15" i="2"/>
  <c r="M7" i="2" s="1"/>
  <c r="F15" i="2"/>
  <c r="M8" i="2" s="1"/>
  <c r="G15" i="2"/>
  <c r="M9" i="2" s="1"/>
  <c r="H15" i="2"/>
  <c r="M10" i="2" s="1"/>
  <c r="I15" i="2"/>
  <c r="M11" i="2" s="1"/>
  <c r="J15" i="2"/>
  <c r="M12" i="2" s="1"/>
  <c r="K15" i="2"/>
  <c r="M13" i="2" s="1"/>
  <c r="C16" i="2"/>
  <c r="N5" i="2" s="1"/>
  <c r="D16" i="2"/>
  <c r="N6" i="2" s="1"/>
  <c r="E16" i="2"/>
  <c r="N7" i="2" s="1"/>
  <c r="F16" i="2"/>
  <c r="N8" i="2" s="1"/>
  <c r="G16" i="2"/>
  <c r="N9" i="2" s="1"/>
  <c r="H16" i="2"/>
  <c r="N10" i="2" s="1"/>
  <c r="I16" i="2"/>
  <c r="N11" i="2" s="1"/>
  <c r="J16" i="2"/>
  <c r="N12" i="2" s="1"/>
  <c r="K16" i="2"/>
  <c r="N13" i="2" s="1"/>
  <c r="C17" i="2"/>
  <c r="O5" i="2" s="1"/>
  <c r="D17" i="2"/>
  <c r="O6" i="2" s="1"/>
  <c r="E17" i="2"/>
  <c r="O7" i="2" s="1"/>
  <c r="F17" i="2"/>
  <c r="O8" i="2" s="1"/>
  <c r="G17" i="2"/>
  <c r="O9" i="2" s="1"/>
  <c r="H17" i="2"/>
  <c r="O10" i="2" s="1"/>
  <c r="I17" i="2"/>
  <c r="O11" i="2" s="1"/>
  <c r="J17" i="2"/>
  <c r="O12" i="2" s="1"/>
  <c r="K17" i="2"/>
  <c r="O13" i="2" s="1"/>
  <c r="C18" i="2"/>
  <c r="P5" i="2" s="1"/>
  <c r="D18" i="2"/>
  <c r="P6" i="2" s="1"/>
  <c r="E18" i="2"/>
  <c r="P7" i="2" s="1"/>
  <c r="F18" i="2"/>
  <c r="P8" i="2" s="1"/>
  <c r="G18" i="2"/>
  <c r="P9" i="2" s="1"/>
  <c r="H18" i="2"/>
  <c r="P10" i="2" s="1"/>
  <c r="I18" i="2"/>
  <c r="P11" i="2" s="1"/>
  <c r="J18" i="2"/>
  <c r="P12" i="2" s="1"/>
  <c r="K18" i="2"/>
  <c r="P13" i="2" s="1"/>
  <c r="C19" i="2"/>
  <c r="Q5" i="2" s="1"/>
  <c r="D19" i="2"/>
  <c r="Q6" i="2" s="1"/>
  <c r="E19" i="2"/>
  <c r="Q7" i="2" s="1"/>
  <c r="F19" i="2"/>
  <c r="Q8" i="2" s="1"/>
  <c r="G19" i="2"/>
  <c r="Q9" i="2" s="1"/>
  <c r="H19" i="2"/>
  <c r="Q10" i="2" s="1"/>
  <c r="I19" i="2"/>
  <c r="Q11" i="2" s="1"/>
  <c r="J19" i="2"/>
  <c r="Q12" i="2" s="1"/>
  <c r="K19" i="2"/>
  <c r="Q13" i="2" s="1"/>
  <c r="C20" i="2"/>
  <c r="R5" i="2" s="1"/>
  <c r="D20" i="2"/>
  <c r="R6" i="2" s="1"/>
  <c r="E20" i="2"/>
  <c r="R7" i="2" s="1"/>
  <c r="F20" i="2"/>
  <c r="R8" i="2" s="1"/>
  <c r="G20" i="2"/>
  <c r="R9" i="2" s="1"/>
  <c r="H20" i="2"/>
  <c r="R10" i="2" s="1"/>
  <c r="I20" i="2"/>
  <c r="R11" i="2" s="1"/>
  <c r="J20" i="2"/>
  <c r="R12" i="2" s="1"/>
  <c r="K20" i="2"/>
  <c r="R13" i="2" s="1"/>
  <c r="C21" i="2"/>
  <c r="S5" i="2" s="1"/>
  <c r="D21" i="2"/>
  <c r="S6" i="2" s="1"/>
  <c r="E21" i="2"/>
  <c r="S7" i="2" s="1"/>
  <c r="F21" i="2"/>
  <c r="S8" i="2" s="1"/>
  <c r="G21" i="2"/>
  <c r="S9" i="2" s="1"/>
  <c r="H21" i="2"/>
  <c r="S10" i="2" s="1"/>
  <c r="I21" i="2"/>
  <c r="S11" i="2" s="1"/>
  <c r="J21" i="2"/>
  <c r="S12" i="2" s="1"/>
  <c r="K21" i="2"/>
  <c r="S13" i="2" s="1"/>
  <c r="C22" i="2"/>
  <c r="T5" i="2" s="1"/>
  <c r="D22" i="2"/>
  <c r="T6" i="2" s="1"/>
  <c r="E22" i="2"/>
  <c r="T7" i="2" s="1"/>
  <c r="F22" i="2"/>
  <c r="T8" i="2" s="1"/>
  <c r="G22" i="2"/>
  <c r="T9" i="2" s="1"/>
  <c r="H22" i="2"/>
  <c r="T10" i="2" s="1"/>
  <c r="I22" i="2"/>
  <c r="T11" i="2" s="1"/>
  <c r="J22" i="2"/>
  <c r="T12" i="2" s="1"/>
  <c r="K22" i="2"/>
  <c r="T13" i="2" s="1"/>
  <c r="C23" i="2"/>
  <c r="U5" i="2" s="1"/>
  <c r="D23" i="2"/>
  <c r="U6" i="2" s="1"/>
  <c r="E23" i="2"/>
  <c r="U7" i="2" s="1"/>
  <c r="F23" i="2"/>
  <c r="U8" i="2" s="1"/>
  <c r="G23" i="2"/>
  <c r="U9" i="2" s="1"/>
  <c r="H23" i="2"/>
  <c r="U10" i="2" s="1"/>
  <c r="I23" i="2"/>
  <c r="U11" i="2" s="1"/>
  <c r="J23" i="2"/>
  <c r="U12" i="2" s="1"/>
  <c r="K23" i="2"/>
  <c r="U13" i="2" s="1"/>
  <c r="C24" i="2"/>
  <c r="V5" i="2" s="1"/>
  <c r="D24" i="2"/>
  <c r="V6" i="2" s="1"/>
  <c r="E24" i="2"/>
  <c r="V7" i="2" s="1"/>
  <c r="F24" i="2"/>
  <c r="V8" i="2" s="1"/>
  <c r="G24" i="2"/>
  <c r="V9" i="2" s="1"/>
  <c r="H24" i="2"/>
  <c r="V10" i="2" s="1"/>
  <c r="I24" i="2"/>
  <c r="V11" i="2" s="1"/>
  <c r="J24" i="2"/>
  <c r="V12" i="2" s="1"/>
  <c r="K24" i="2"/>
  <c r="V13" i="2" s="1"/>
  <c r="C25" i="2"/>
  <c r="W5" i="2" s="1"/>
  <c r="D25" i="2"/>
  <c r="W6" i="2" s="1"/>
  <c r="E25" i="2"/>
  <c r="W7" i="2" s="1"/>
  <c r="F25" i="2"/>
  <c r="W8" i="2" s="1"/>
  <c r="G25" i="2"/>
  <c r="W9" i="2" s="1"/>
  <c r="H25" i="2"/>
  <c r="W10" i="2" s="1"/>
  <c r="I25" i="2"/>
  <c r="W11" i="2" s="1"/>
  <c r="J25" i="2"/>
  <c r="W12" i="2" s="1"/>
  <c r="K25" i="2"/>
  <c r="W13" i="2" s="1"/>
  <c r="C26" i="2"/>
  <c r="X5" i="2" s="1"/>
  <c r="D26" i="2"/>
  <c r="X6" i="2" s="1"/>
  <c r="E26" i="2"/>
  <c r="X7" i="2" s="1"/>
  <c r="F26" i="2"/>
  <c r="X8" i="2" s="1"/>
  <c r="G26" i="2"/>
  <c r="X9" i="2" s="1"/>
  <c r="H26" i="2"/>
  <c r="X10" i="2" s="1"/>
  <c r="I26" i="2"/>
  <c r="X11" i="2" s="1"/>
  <c r="J26" i="2"/>
  <c r="X12" i="2" s="1"/>
  <c r="K26" i="2"/>
  <c r="X13" i="2" s="1"/>
  <c r="C27" i="2"/>
  <c r="Y5" i="2" s="1"/>
  <c r="D27" i="2"/>
  <c r="Y6" i="2" s="1"/>
  <c r="E27" i="2"/>
  <c r="Y7" i="2" s="1"/>
  <c r="F27" i="2"/>
  <c r="Y8" i="2" s="1"/>
  <c r="G27" i="2"/>
  <c r="Y9" i="2" s="1"/>
  <c r="H27" i="2"/>
  <c r="Y10" i="2" s="1"/>
  <c r="I27" i="2"/>
  <c r="Y11" i="2" s="1"/>
  <c r="J27" i="2"/>
  <c r="Y12" i="2" s="1"/>
  <c r="K27" i="2"/>
  <c r="Y13" i="2" s="1"/>
  <c r="C28" i="2"/>
  <c r="Z5" i="2" s="1"/>
  <c r="D28" i="2"/>
  <c r="Z6" i="2" s="1"/>
  <c r="E28" i="2"/>
  <c r="Z7" i="2" s="1"/>
  <c r="F28" i="2"/>
  <c r="Z8" i="2" s="1"/>
  <c r="G28" i="2"/>
  <c r="Z9" i="2" s="1"/>
  <c r="H28" i="2"/>
  <c r="Z10" i="2" s="1"/>
  <c r="I28" i="2"/>
  <c r="Z11" i="2" s="1"/>
  <c r="J28" i="2"/>
  <c r="Z12" i="2" s="1"/>
  <c r="K28" i="2"/>
  <c r="Z13" i="2" s="1"/>
  <c r="C29" i="2"/>
  <c r="AA5" i="2" s="1"/>
  <c r="D29" i="2"/>
  <c r="AA6" i="2" s="1"/>
  <c r="E29" i="2"/>
  <c r="AA7" i="2" s="1"/>
  <c r="F29" i="2"/>
  <c r="AA8" i="2" s="1"/>
  <c r="G29" i="2"/>
  <c r="AA9" i="2" s="1"/>
  <c r="H29" i="2"/>
  <c r="AA10" i="2" s="1"/>
  <c r="I29" i="2"/>
  <c r="AA11" i="2" s="1"/>
  <c r="J29" i="2"/>
  <c r="AA12" i="2" s="1"/>
  <c r="K29" i="2"/>
  <c r="AA13" i="2" s="1"/>
  <c r="C30" i="2"/>
  <c r="AB5" i="2" s="1"/>
  <c r="D30" i="2"/>
  <c r="AB6" i="2" s="1"/>
  <c r="E30" i="2"/>
  <c r="AB7" i="2" s="1"/>
  <c r="F30" i="2"/>
  <c r="AB8" i="2" s="1"/>
  <c r="G30" i="2"/>
  <c r="AB9" i="2" s="1"/>
  <c r="H30" i="2"/>
  <c r="AB10" i="2" s="1"/>
  <c r="I30" i="2"/>
  <c r="AB11" i="2" s="1"/>
  <c r="J30" i="2"/>
  <c r="AB12" i="2" s="1"/>
  <c r="K30" i="2"/>
  <c r="AB13" i="2" s="1"/>
  <c r="C31" i="2"/>
  <c r="AC5" i="2" s="1"/>
  <c r="D31" i="2"/>
  <c r="AC6" i="2" s="1"/>
  <c r="E31" i="2"/>
  <c r="AC7" i="2" s="1"/>
  <c r="F31" i="2"/>
  <c r="AC8" i="2" s="1"/>
  <c r="G31" i="2"/>
  <c r="AC9" i="2" s="1"/>
  <c r="H31" i="2"/>
  <c r="AC10" i="2" s="1"/>
  <c r="I31" i="2"/>
  <c r="AC11" i="2" s="1"/>
  <c r="J31" i="2"/>
  <c r="AC12" i="2" s="1"/>
  <c r="K31" i="2"/>
  <c r="AC13" i="2" s="1"/>
  <c r="C32" i="2"/>
  <c r="AD5" i="2" s="1"/>
  <c r="D32" i="2"/>
  <c r="AD6" i="2" s="1"/>
  <c r="E32" i="2"/>
  <c r="AD7" i="2" s="1"/>
  <c r="F32" i="2"/>
  <c r="AD8" i="2" s="1"/>
  <c r="G32" i="2"/>
  <c r="AD9" i="2" s="1"/>
  <c r="H32" i="2"/>
  <c r="AD10" i="2" s="1"/>
  <c r="I32" i="2"/>
  <c r="AD11" i="2" s="1"/>
  <c r="J32" i="2"/>
  <c r="AD12" i="2" s="1"/>
  <c r="K32" i="2"/>
  <c r="AD13" i="2" s="1"/>
  <c r="C33" i="2"/>
  <c r="AE5" i="2" s="1"/>
  <c r="D33" i="2"/>
  <c r="AE6" i="2" s="1"/>
  <c r="E33" i="2"/>
  <c r="AE7" i="2" s="1"/>
  <c r="F33" i="2"/>
  <c r="AE8" i="2" s="1"/>
  <c r="G33" i="2"/>
  <c r="AE9" i="2" s="1"/>
  <c r="H33" i="2"/>
  <c r="AE10" i="2" s="1"/>
  <c r="I33" i="2"/>
  <c r="AE11" i="2" s="1"/>
  <c r="J33" i="2"/>
  <c r="AE12" i="2" s="1"/>
  <c r="K33" i="2"/>
  <c r="AE13" i="2" s="1"/>
  <c r="C9" i="2"/>
  <c r="G5" i="2" s="1"/>
  <c r="D9" i="2"/>
  <c r="G6" i="2" s="1"/>
  <c r="C10" i="2"/>
  <c r="H5" i="2" s="1"/>
  <c r="D10" i="2"/>
  <c r="H6" i="2" s="1"/>
  <c r="C11" i="2"/>
  <c r="I5" i="2" s="1"/>
  <c r="D11" i="2"/>
  <c r="I6" i="2" s="1"/>
  <c r="C12" i="2"/>
  <c r="J5" i="2" s="1"/>
  <c r="D12" i="2"/>
  <c r="J6" i="2" s="1"/>
  <c r="C13" i="2"/>
  <c r="K5" i="2" s="1"/>
  <c r="D13" i="2"/>
  <c r="K6" i="2" s="1"/>
  <c r="E13" i="2"/>
  <c r="K7" i="2" s="1"/>
  <c r="F13" i="2"/>
  <c r="K8" i="2" s="1"/>
  <c r="G13" i="2"/>
  <c r="K9" i="2" s="1"/>
  <c r="H13" i="2"/>
  <c r="K10" i="2" s="1"/>
  <c r="I13" i="2"/>
  <c r="K11" i="2" s="1"/>
  <c r="J13" i="2"/>
  <c r="K12" i="2" s="1"/>
  <c r="E12" i="2"/>
  <c r="J7" i="2" s="1"/>
  <c r="F12" i="2"/>
  <c r="J8" i="2" s="1"/>
  <c r="G12" i="2"/>
  <c r="J9" i="2" s="1"/>
  <c r="H12" i="2"/>
  <c r="J10" i="2" s="1"/>
  <c r="I12" i="2"/>
  <c r="J11" i="2" s="1"/>
  <c r="E11" i="2"/>
  <c r="I7" i="2" s="1"/>
  <c r="F11" i="2"/>
  <c r="I8" i="2" s="1"/>
  <c r="G11" i="2"/>
  <c r="I9" i="2" s="1"/>
  <c r="H11" i="2"/>
  <c r="I10" i="2" s="1"/>
  <c r="E10" i="2"/>
  <c r="H7" i="2" s="1"/>
  <c r="F10" i="2"/>
  <c r="H8" i="2" s="1"/>
  <c r="G10" i="2"/>
  <c r="H9" i="2" s="1"/>
  <c r="E9" i="2"/>
  <c r="G7" i="2" s="1"/>
  <c r="F9" i="2"/>
  <c r="G8" i="2" s="1"/>
  <c r="C8" i="2"/>
  <c r="F5" i="2" s="1"/>
  <c r="D8" i="2"/>
  <c r="F6" i="2" s="1"/>
  <c r="E8" i="2"/>
  <c r="F7" i="2" s="1"/>
  <c r="C7" i="2"/>
  <c r="E5" i="2" s="1"/>
  <c r="D7" i="2"/>
  <c r="E6" i="2" s="1"/>
  <c r="C6" i="2"/>
  <c r="D5" i="2" s="1"/>
  <c r="B6" i="2"/>
  <c r="D4" i="2" s="1"/>
  <c r="B7" i="2"/>
  <c r="E4" i="2" s="1"/>
  <c r="B8" i="2"/>
  <c r="F4" i="2" s="1"/>
  <c r="B9" i="2"/>
  <c r="G4" i="2" s="1"/>
  <c r="B10" i="2"/>
  <c r="H4" i="2" s="1"/>
  <c r="B11" i="2"/>
  <c r="I4" i="2" s="1"/>
  <c r="B12" i="2"/>
  <c r="J4" i="2" s="1"/>
  <c r="B13" i="2"/>
  <c r="K4" i="2" s="1"/>
  <c r="B14" i="2"/>
  <c r="L4" i="2" s="1"/>
  <c r="B15" i="2"/>
  <c r="M4" i="2" s="1"/>
  <c r="B16" i="2"/>
  <c r="N4" i="2" s="1"/>
  <c r="B17" i="2"/>
  <c r="O4" i="2" s="1"/>
  <c r="B18" i="2"/>
  <c r="P4" i="2" s="1"/>
  <c r="B19" i="2"/>
  <c r="Q4" i="2" s="1"/>
  <c r="B20" i="2"/>
  <c r="R4" i="2" s="1"/>
  <c r="B21" i="2"/>
  <c r="S4" i="2" s="1"/>
  <c r="B22" i="2"/>
  <c r="T4" i="2" s="1"/>
  <c r="B23" i="2"/>
  <c r="U4" i="2" s="1"/>
  <c r="B24" i="2"/>
  <c r="V4" i="2" s="1"/>
  <c r="B25" i="2"/>
  <c r="W4" i="2" s="1"/>
  <c r="B26" i="2"/>
  <c r="X4" i="2" s="1"/>
  <c r="B27" i="2"/>
  <c r="Y4" i="2" s="1"/>
  <c r="B28" i="2"/>
  <c r="Z4" i="2" s="1"/>
  <c r="B29" i="2"/>
  <c r="AA4" i="2" s="1"/>
  <c r="B30" i="2"/>
  <c r="AB4" i="2" s="1"/>
  <c r="B31" i="2"/>
  <c r="AC4" i="2" s="1"/>
  <c r="B32" i="2"/>
  <c r="AD4" i="2" s="1"/>
  <c r="B33" i="2"/>
  <c r="AE4" i="2" s="1"/>
  <c r="B5" i="2"/>
  <c r="C4" i="2" s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7" i="1"/>
  <c r="B4" i="1"/>
  <c r="E7" i="1"/>
  <c r="F7" i="1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4" i="2"/>
  <c r="B4" i="2"/>
  <c r="AF4" i="2"/>
  <c r="A5" i="2"/>
  <c r="C5" i="2"/>
  <c r="AF5" i="2"/>
  <c r="A6" i="2"/>
  <c r="D6" i="2"/>
  <c r="AF6" i="2"/>
  <c r="A7" i="2"/>
  <c r="E7" i="2"/>
  <c r="AF7" i="2"/>
  <c r="A8" i="2"/>
  <c r="F8" i="2"/>
  <c r="AF8" i="2"/>
  <c r="A9" i="2"/>
  <c r="G9" i="2"/>
  <c r="AF9" i="2"/>
  <c r="A10" i="2"/>
  <c r="H10" i="2"/>
  <c r="AF10" i="2"/>
  <c r="A11" i="2"/>
  <c r="I11" i="2"/>
  <c r="AF11" i="2"/>
  <c r="A12" i="2"/>
  <c r="J12" i="2"/>
  <c r="AF12" i="2"/>
  <c r="A13" i="2"/>
  <c r="K13" i="2"/>
  <c r="AF13" i="2"/>
  <c r="A14" i="2"/>
  <c r="L14" i="2"/>
  <c r="AF14" i="2"/>
  <c r="A15" i="2"/>
  <c r="M15" i="2"/>
  <c r="AF15" i="2"/>
  <c r="A16" i="2"/>
  <c r="N16" i="2"/>
  <c r="AF16" i="2"/>
  <c r="A17" i="2"/>
  <c r="O17" i="2"/>
  <c r="AF17" i="2"/>
  <c r="A18" i="2"/>
  <c r="P18" i="2"/>
  <c r="AF18" i="2"/>
  <c r="A19" i="2"/>
  <c r="Q19" i="2"/>
  <c r="AF19" i="2"/>
  <c r="A20" i="2"/>
  <c r="R20" i="2"/>
  <c r="AF20" i="2"/>
  <c r="A21" i="2"/>
  <c r="S21" i="2"/>
  <c r="AF21" i="2"/>
  <c r="A22" i="2"/>
  <c r="T22" i="2"/>
  <c r="AF22" i="2"/>
  <c r="A23" i="2"/>
  <c r="U23" i="2"/>
  <c r="AF23" i="2"/>
  <c r="A24" i="2"/>
  <c r="V24" i="2"/>
  <c r="AF24" i="2"/>
  <c r="A25" i="2"/>
  <c r="W25" i="2"/>
  <c r="AF25" i="2"/>
  <c r="A26" i="2"/>
  <c r="X26" i="2"/>
  <c r="AF26" i="2"/>
  <c r="A27" i="2"/>
  <c r="Y27" i="2"/>
  <c r="AF27" i="2"/>
  <c r="A28" i="2"/>
  <c r="Z28" i="2"/>
  <c r="AF28" i="2"/>
  <c r="A29" i="2"/>
  <c r="AA29" i="2"/>
  <c r="AF29" i="2"/>
  <c r="A30" i="2"/>
  <c r="AB30" i="2"/>
  <c r="AF30" i="2"/>
  <c r="A31" i="2"/>
  <c r="AC31" i="2"/>
  <c r="AF31" i="2"/>
  <c r="A32" i="2"/>
  <c r="AD32" i="2"/>
  <c r="AF32" i="2"/>
  <c r="A33" i="2"/>
  <c r="AE33" i="2"/>
  <c r="AF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4" i="3"/>
  <c r="AF4" i="3"/>
  <c r="A5" i="3"/>
  <c r="AF5" i="3"/>
  <c r="A6" i="3"/>
  <c r="AF6" i="3"/>
  <c r="A7" i="3"/>
  <c r="AF7" i="3"/>
  <c r="A8" i="3"/>
  <c r="AF8" i="3"/>
  <c r="A9" i="3"/>
  <c r="AF9" i="3"/>
  <c r="A10" i="3"/>
  <c r="AF10" i="3"/>
  <c r="A11" i="3"/>
  <c r="AF11" i="3"/>
  <c r="A12" i="3"/>
  <c r="AF12" i="3"/>
  <c r="A13" i="3"/>
  <c r="AF13" i="3"/>
  <c r="A14" i="3"/>
  <c r="AF14" i="3"/>
  <c r="A15" i="3"/>
  <c r="AF15" i="3"/>
  <c r="A16" i="3"/>
  <c r="AF16" i="3"/>
  <c r="A17" i="3"/>
  <c r="AF17" i="3"/>
  <c r="A18" i="3"/>
  <c r="AF18" i="3"/>
  <c r="A19" i="3"/>
  <c r="AF19" i="3"/>
  <c r="A20" i="3"/>
  <c r="AF20" i="3"/>
  <c r="A21" i="3"/>
  <c r="AF21" i="3"/>
  <c r="A22" i="3"/>
  <c r="AF22" i="3"/>
  <c r="A23" i="3"/>
  <c r="AF23" i="3"/>
  <c r="A24" i="3"/>
  <c r="AF24" i="3"/>
  <c r="A25" i="3"/>
  <c r="AF25" i="3"/>
  <c r="A26" i="3"/>
  <c r="AF26" i="3"/>
  <c r="A27" i="3"/>
  <c r="AF27" i="3"/>
  <c r="A28" i="3"/>
  <c r="AF28" i="3"/>
  <c r="A29" i="3"/>
  <c r="AF29" i="3"/>
  <c r="A30" i="3"/>
  <c r="AF30" i="3"/>
  <c r="A31" i="3"/>
  <c r="AF31" i="3"/>
  <c r="A32" i="3"/>
  <c r="AF32" i="3"/>
  <c r="A33" i="3"/>
  <c r="AF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H36" i="1"/>
  <c r="I36" i="1"/>
  <c r="H34" i="1"/>
  <c r="H32" i="1"/>
  <c r="H30" i="1"/>
  <c r="H28" i="1"/>
  <c r="H26" i="1"/>
  <c r="H24" i="1"/>
  <c r="H22" i="1"/>
  <c r="H20" i="1"/>
  <c r="H18" i="1"/>
  <c r="H16" i="1"/>
  <c r="H14" i="1"/>
  <c r="H12" i="1"/>
  <c r="H10" i="1"/>
  <c r="H8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" i="1"/>
  <c r="E8" i="1"/>
  <c r="H35" i="1"/>
  <c r="H33" i="1"/>
  <c r="H31" i="1"/>
  <c r="H29" i="1"/>
  <c r="H27" i="1"/>
  <c r="H25" i="1"/>
  <c r="H23" i="1"/>
  <c r="H21" i="1"/>
  <c r="H19" i="1"/>
  <c r="H17" i="1"/>
  <c r="H15" i="1"/>
  <c r="H13" i="1"/>
  <c r="H11" i="1"/>
  <c r="H9" i="1"/>
  <c r="H7" i="1"/>
  <c r="E35" i="1"/>
  <c r="E33" i="1"/>
  <c r="AB4" i="3"/>
  <c r="E31" i="1"/>
  <c r="E29" i="1"/>
  <c r="E27" i="1"/>
  <c r="E25" i="1"/>
  <c r="E23" i="1"/>
  <c r="E21" i="1"/>
  <c r="E19" i="1"/>
  <c r="N4" i="3"/>
  <c r="E17" i="1"/>
  <c r="L4" i="3"/>
  <c r="E15" i="1"/>
  <c r="E13" i="1"/>
  <c r="E11" i="1"/>
  <c r="E9" i="1"/>
  <c r="D4" i="3"/>
  <c r="I7" i="1"/>
  <c r="B5" i="3"/>
  <c r="I12" i="1"/>
  <c r="I25" i="1"/>
  <c r="I14" i="1"/>
  <c r="F9" i="1"/>
  <c r="F6" i="3"/>
  <c r="N6" i="3"/>
  <c r="V6" i="3"/>
  <c r="AD6" i="3"/>
  <c r="H6" i="3"/>
  <c r="P6" i="3"/>
  <c r="X6" i="3"/>
  <c r="E6" i="3"/>
  <c r="Q6" i="3"/>
  <c r="AA6" i="3"/>
  <c r="G6" i="3"/>
  <c r="R6" i="3"/>
  <c r="AB6" i="3"/>
  <c r="I6" i="3"/>
  <c r="S6" i="3"/>
  <c r="AC6" i="3"/>
  <c r="J6" i="3"/>
  <c r="T6" i="3"/>
  <c r="AE6" i="3"/>
  <c r="K6" i="3"/>
  <c r="U6" i="3"/>
  <c r="L6" i="3"/>
  <c r="W6" i="3"/>
  <c r="Z6" i="3"/>
  <c r="M6" i="3"/>
  <c r="O6" i="3"/>
  <c r="Y6" i="3"/>
  <c r="F25" i="1"/>
  <c r="X22" i="3"/>
  <c r="Y22" i="3"/>
  <c r="Z22" i="3"/>
  <c r="AA22" i="3"/>
  <c r="AB22" i="3"/>
  <c r="U22" i="3"/>
  <c r="AC22" i="3"/>
  <c r="V22" i="3"/>
  <c r="W22" i="3"/>
  <c r="AD22" i="3"/>
  <c r="AE22" i="3"/>
  <c r="I11" i="1"/>
  <c r="I27" i="1"/>
  <c r="F14" i="1"/>
  <c r="O11" i="3"/>
  <c r="W11" i="3"/>
  <c r="AE11" i="3"/>
  <c r="P11" i="3"/>
  <c r="X11" i="3"/>
  <c r="Q11" i="3"/>
  <c r="Y11" i="3"/>
  <c r="J11" i="3"/>
  <c r="R11" i="3"/>
  <c r="Z11" i="3"/>
  <c r="K11" i="3"/>
  <c r="S11" i="3"/>
  <c r="AA11" i="3"/>
  <c r="L11" i="3"/>
  <c r="T11" i="3"/>
  <c r="AB11" i="3"/>
  <c r="M11" i="3"/>
  <c r="N11" i="3"/>
  <c r="U11" i="3"/>
  <c r="V11" i="3"/>
  <c r="AD11" i="3"/>
  <c r="AC11" i="3"/>
  <c r="F30" i="1"/>
  <c r="AC27" i="3"/>
  <c r="AD27" i="3"/>
  <c r="AE27" i="3"/>
  <c r="Z27" i="3"/>
  <c r="AA27" i="3"/>
  <c r="AB27" i="3"/>
  <c r="I16" i="1"/>
  <c r="I32" i="1"/>
  <c r="T4" i="3"/>
  <c r="I23" i="1"/>
  <c r="I28" i="1"/>
  <c r="F28" i="1"/>
  <c r="W4" i="3"/>
  <c r="AA25" i="3"/>
  <c r="AB25" i="3"/>
  <c r="AC25" i="3"/>
  <c r="AE25" i="3"/>
  <c r="X25" i="3"/>
  <c r="Y25" i="3"/>
  <c r="Z25" i="3"/>
  <c r="AD25" i="3"/>
  <c r="F11" i="1"/>
  <c r="J8" i="3"/>
  <c r="L8" i="3"/>
  <c r="T8" i="3"/>
  <c r="AB8" i="3"/>
  <c r="M8" i="3"/>
  <c r="U8" i="3"/>
  <c r="AC8" i="3"/>
  <c r="N8" i="3"/>
  <c r="V8" i="3"/>
  <c r="AD8" i="3"/>
  <c r="O8" i="3"/>
  <c r="W8" i="3"/>
  <c r="AE8" i="3"/>
  <c r="G8" i="3"/>
  <c r="P8" i="3"/>
  <c r="X8" i="3"/>
  <c r="H8" i="3"/>
  <c r="Q8" i="3"/>
  <c r="Y8" i="3"/>
  <c r="AA8" i="3"/>
  <c r="I8" i="3"/>
  <c r="K8" i="3"/>
  <c r="R8" i="3"/>
  <c r="S8" i="3"/>
  <c r="Z8" i="3"/>
  <c r="F27" i="1"/>
  <c r="Z24" i="3"/>
  <c r="AA24" i="3"/>
  <c r="AB24" i="3"/>
  <c r="AD24" i="3"/>
  <c r="W24" i="3"/>
  <c r="AE24" i="3"/>
  <c r="X24" i="3"/>
  <c r="AC24" i="3"/>
  <c r="Y24" i="3"/>
  <c r="I13" i="1"/>
  <c r="I29" i="1"/>
  <c r="F16" i="1"/>
  <c r="Q13" i="3"/>
  <c r="Y13" i="3"/>
  <c r="K4" i="3"/>
  <c r="S13" i="3"/>
  <c r="AA13" i="3"/>
  <c r="L13" i="3"/>
  <c r="T13" i="3"/>
  <c r="AB13" i="3"/>
  <c r="M13" i="3"/>
  <c r="U13" i="3"/>
  <c r="AC13" i="3"/>
  <c r="N13" i="3"/>
  <c r="V13" i="3"/>
  <c r="AD13" i="3"/>
  <c r="O13" i="3"/>
  <c r="R13" i="3"/>
  <c r="P13" i="3"/>
  <c r="W13" i="3"/>
  <c r="X13" i="3"/>
  <c r="Z13" i="3"/>
  <c r="AE13" i="3"/>
  <c r="F32" i="1"/>
  <c r="AA4" i="3"/>
  <c r="AE29" i="3"/>
  <c r="AB29" i="3"/>
  <c r="AC29" i="3"/>
  <c r="AD29" i="3"/>
  <c r="I18" i="1"/>
  <c r="I34" i="1"/>
  <c r="F13" i="1"/>
  <c r="H4" i="3"/>
  <c r="N10" i="3"/>
  <c r="V10" i="3"/>
  <c r="AD10" i="3"/>
  <c r="O10" i="3"/>
  <c r="W10" i="3"/>
  <c r="AE10" i="3"/>
  <c r="P10" i="3"/>
  <c r="X10" i="3"/>
  <c r="I10" i="3"/>
  <c r="Q10" i="3"/>
  <c r="Y10" i="3"/>
  <c r="J10" i="3"/>
  <c r="R10" i="3"/>
  <c r="Z10" i="3"/>
  <c r="K10" i="3"/>
  <c r="S10" i="3"/>
  <c r="AA10" i="3"/>
  <c r="M10" i="3"/>
  <c r="T10" i="3"/>
  <c r="AB10" i="3"/>
  <c r="U10" i="3"/>
  <c r="AC10" i="3"/>
  <c r="L10" i="3"/>
  <c r="I20" i="1"/>
  <c r="F26" i="1"/>
  <c r="U4" i="3"/>
  <c r="Y23" i="3"/>
  <c r="Z23" i="3"/>
  <c r="AA23" i="3"/>
  <c r="AC23" i="3"/>
  <c r="V23" i="3"/>
  <c r="AD23" i="3"/>
  <c r="X23" i="3"/>
  <c r="AB23" i="3"/>
  <c r="AE23" i="3"/>
  <c r="W23" i="3"/>
  <c r="I9" i="1"/>
  <c r="I15" i="1"/>
  <c r="I31" i="1"/>
  <c r="F34" i="1"/>
  <c r="AC4" i="3"/>
  <c r="AD31" i="3"/>
  <c r="AE31" i="3"/>
  <c r="F4" i="3"/>
  <c r="F31" i="1"/>
  <c r="Z4" i="3"/>
  <c r="AD28" i="3"/>
  <c r="AE28" i="3"/>
  <c r="AA28" i="3"/>
  <c r="AB28" i="3"/>
  <c r="AC28" i="3"/>
  <c r="I33" i="1"/>
  <c r="F36" i="1"/>
  <c r="AE4" i="3"/>
  <c r="I4" i="3"/>
  <c r="F17" i="1"/>
  <c r="R14" i="3"/>
  <c r="Z14" i="3"/>
  <c r="T14" i="3"/>
  <c r="AB14" i="3"/>
  <c r="M14" i="3"/>
  <c r="U14" i="3"/>
  <c r="AC14" i="3"/>
  <c r="N14" i="3"/>
  <c r="V14" i="3"/>
  <c r="AD14" i="3"/>
  <c r="O14" i="3"/>
  <c r="W14" i="3"/>
  <c r="AE14" i="3"/>
  <c r="S14" i="3"/>
  <c r="X14" i="3"/>
  <c r="AA14" i="3"/>
  <c r="Y14" i="3"/>
  <c r="P14" i="3"/>
  <c r="Q14" i="3"/>
  <c r="F33" i="1"/>
  <c r="AC30" i="3"/>
  <c r="AD30" i="3"/>
  <c r="AE30" i="3"/>
  <c r="I19" i="1"/>
  <c r="I35" i="1"/>
  <c r="AD33" i="3"/>
  <c r="F22" i="1"/>
  <c r="W19" i="3"/>
  <c r="AE19" i="3"/>
  <c r="Y19" i="3"/>
  <c r="R19" i="3"/>
  <c r="Z19" i="3"/>
  <c r="S19" i="3"/>
  <c r="AA19" i="3"/>
  <c r="T19" i="3"/>
  <c r="AB19" i="3"/>
  <c r="U19" i="3"/>
  <c r="V19" i="3"/>
  <c r="X19" i="3"/>
  <c r="AC19" i="3"/>
  <c r="AD19" i="3"/>
  <c r="I8" i="1"/>
  <c r="I24" i="1"/>
  <c r="Q4" i="3"/>
  <c r="V4" i="3"/>
  <c r="F21" i="1"/>
  <c r="V18" i="3"/>
  <c r="AD18" i="3"/>
  <c r="X18" i="3"/>
  <c r="Q18" i="3"/>
  <c r="Y18" i="3"/>
  <c r="R18" i="3"/>
  <c r="Z18" i="3"/>
  <c r="P4" i="3"/>
  <c r="S18" i="3"/>
  <c r="AA18" i="3"/>
  <c r="AE18" i="3"/>
  <c r="T18" i="3"/>
  <c r="U18" i="3"/>
  <c r="AB18" i="3"/>
  <c r="W18" i="3"/>
  <c r="AC18" i="3"/>
  <c r="F10" i="1"/>
  <c r="G7" i="3"/>
  <c r="O7" i="3"/>
  <c r="I7" i="3"/>
  <c r="Q7" i="3"/>
  <c r="Y7" i="3"/>
  <c r="P7" i="3"/>
  <c r="Z7" i="3"/>
  <c r="F7" i="3"/>
  <c r="R7" i="3"/>
  <c r="AA7" i="3"/>
  <c r="H7" i="3"/>
  <c r="S7" i="3"/>
  <c r="AB7" i="3"/>
  <c r="J7" i="3"/>
  <c r="T7" i="3"/>
  <c r="AC7" i="3"/>
  <c r="K7" i="3"/>
  <c r="U7" i="3"/>
  <c r="AD7" i="3"/>
  <c r="L7" i="3"/>
  <c r="V7" i="3"/>
  <c r="AE7" i="3"/>
  <c r="X7" i="3"/>
  <c r="N7" i="3"/>
  <c r="M7" i="3"/>
  <c r="E4" i="3"/>
  <c r="W7" i="3"/>
  <c r="F23" i="1"/>
  <c r="Z20" i="3"/>
  <c r="S20" i="3"/>
  <c r="AA20" i="3"/>
  <c r="U20" i="3"/>
  <c r="AC20" i="3"/>
  <c r="R4" i="3"/>
  <c r="V20" i="3"/>
  <c r="W20" i="3"/>
  <c r="Y20" i="3"/>
  <c r="X20" i="3"/>
  <c r="AB20" i="3"/>
  <c r="AD20" i="3"/>
  <c r="T20" i="3"/>
  <c r="AE20" i="3"/>
  <c r="F12" i="1"/>
  <c r="M9" i="3"/>
  <c r="U9" i="3"/>
  <c r="AC9" i="3"/>
  <c r="N9" i="3"/>
  <c r="V9" i="3"/>
  <c r="AD9" i="3"/>
  <c r="O9" i="3"/>
  <c r="W9" i="3"/>
  <c r="AE9" i="3"/>
  <c r="H9" i="3"/>
  <c r="P9" i="3"/>
  <c r="X9" i="3"/>
  <c r="I9" i="3"/>
  <c r="Q9" i="3"/>
  <c r="Y9" i="3"/>
  <c r="J9" i="3"/>
  <c r="R9" i="3"/>
  <c r="Z9" i="3"/>
  <c r="T9" i="3"/>
  <c r="AA9" i="3"/>
  <c r="AB9" i="3"/>
  <c r="L9" i="3"/>
  <c r="K9" i="3"/>
  <c r="G4" i="3"/>
  <c r="S9" i="3"/>
  <c r="I30" i="1"/>
  <c r="F29" i="1"/>
  <c r="X4" i="3"/>
  <c r="AB26" i="3"/>
  <c r="AC26" i="3"/>
  <c r="AD26" i="3"/>
  <c r="Y26" i="3"/>
  <c r="AE26" i="3"/>
  <c r="Z26" i="3"/>
  <c r="AA26" i="3"/>
  <c r="F18" i="1"/>
  <c r="S15" i="3"/>
  <c r="AA15" i="3"/>
  <c r="U15" i="3"/>
  <c r="AC15" i="3"/>
  <c r="M4" i="3"/>
  <c r="N15" i="3"/>
  <c r="V15" i="3"/>
  <c r="AD15" i="3"/>
  <c r="O15" i="3"/>
  <c r="W15" i="3"/>
  <c r="AE15" i="3"/>
  <c r="P15" i="3"/>
  <c r="X15" i="3"/>
  <c r="R15" i="3"/>
  <c r="Q15" i="3"/>
  <c r="T15" i="3"/>
  <c r="Y15" i="3"/>
  <c r="Z15" i="3"/>
  <c r="AB15" i="3"/>
  <c r="F15" i="1"/>
  <c r="P12" i="3"/>
  <c r="X12" i="3"/>
  <c r="J4" i="3"/>
  <c r="R12" i="3"/>
  <c r="Z12" i="3"/>
  <c r="K12" i="3"/>
  <c r="S12" i="3"/>
  <c r="AA12" i="3"/>
  <c r="L12" i="3"/>
  <c r="T12" i="3"/>
  <c r="AB12" i="3"/>
  <c r="M12" i="3"/>
  <c r="U12" i="3"/>
  <c r="AC12" i="3"/>
  <c r="W12" i="3"/>
  <c r="Y12" i="3"/>
  <c r="AD12" i="3"/>
  <c r="AE12" i="3"/>
  <c r="N12" i="3"/>
  <c r="O12" i="3"/>
  <c r="Q12" i="3"/>
  <c r="V12" i="3"/>
  <c r="I17" i="1"/>
  <c r="F20" i="1"/>
  <c r="U17" i="3"/>
  <c r="AC17" i="3"/>
  <c r="W17" i="3"/>
  <c r="AE17" i="3"/>
  <c r="P17" i="3"/>
  <c r="X17" i="3"/>
  <c r="O4" i="3"/>
  <c r="Q17" i="3"/>
  <c r="Y17" i="3"/>
  <c r="R17" i="3"/>
  <c r="Z17" i="3"/>
  <c r="AA17" i="3"/>
  <c r="AB17" i="3"/>
  <c r="AD17" i="3"/>
  <c r="T17" i="3"/>
  <c r="S17" i="3"/>
  <c r="V17" i="3"/>
  <c r="I22" i="1"/>
  <c r="F19" i="1"/>
  <c r="T16" i="3"/>
  <c r="AB16" i="3"/>
  <c r="V16" i="3"/>
  <c r="AD16" i="3"/>
  <c r="O16" i="3"/>
  <c r="W16" i="3"/>
  <c r="AE16" i="3"/>
  <c r="P16" i="3"/>
  <c r="X16" i="3"/>
  <c r="Q16" i="3"/>
  <c r="Y16" i="3"/>
  <c r="S16" i="3"/>
  <c r="U16" i="3"/>
  <c r="AA16" i="3"/>
  <c r="Z16" i="3"/>
  <c r="AC16" i="3"/>
  <c r="R16" i="3"/>
  <c r="F35" i="1"/>
  <c r="AE32" i="3"/>
  <c r="I21" i="1"/>
  <c r="F8" i="1"/>
  <c r="J5" i="3"/>
  <c r="R5" i="3"/>
  <c r="E5" i="3"/>
  <c r="M5" i="3"/>
  <c r="U5" i="3"/>
  <c r="AC5" i="3"/>
  <c r="G5" i="3"/>
  <c r="O5" i="3"/>
  <c r="W5" i="3"/>
  <c r="AE5" i="3"/>
  <c r="N5" i="3"/>
  <c r="Z5" i="3"/>
  <c r="P5" i="3"/>
  <c r="AA5" i="3"/>
  <c r="D5" i="3"/>
  <c r="Q5" i="3"/>
  <c r="AB5" i="3"/>
  <c r="F5" i="3"/>
  <c r="S5" i="3"/>
  <c r="AD5" i="3"/>
  <c r="H5" i="3"/>
  <c r="T5" i="3"/>
  <c r="C4" i="3"/>
  <c r="I5" i="3"/>
  <c r="V5" i="3"/>
  <c r="Y5" i="3"/>
  <c r="K5" i="3"/>
  <c r="L5" i="3"/>
  <c r="X5" i="3"/>
  <c r="F24" i="1"/>
  <c r="W21" i="3"/>
  <c r="AE21" i="3"/>
  <c r="S4" i="3"/>
  <c r="X21" i="3"/>
  <c r="Z21" i="3"/>
  <c r="Y21" i="3"/>
  <c r="AA21" i="3"/>
  <c r="T21" i="3"/>
  <c r="AB21" i="3"/>
  <c r="AC21" i="3"/>
  <c r="U21" i="3"/>
  <c r="V21" i="3"/>
  <c r="AD21" i="3"/>
  <c r="I10" i="1"/>
  <c r="I26" i="1"/>
  <c r="Y4" i="3"/>
  <c r="AD4" i="3"/>
  <c r="L17" i="3"/>
  <c r="L15" i="3"/>
  <c r="L20" i="3"/>
  <c r="L27" i="3"/>
  <c r="L18" i="3"/>
  <c r="L26" i="3"/>
  <c r="L25" i="3"/>
  <c r="L33" i="3"/>
  <c r="L23" i="3"/>
  <c r="L31" i="3"/>
  <c r="L19" i="3"/>
  <c r="L22" i="3"/>
  <c r="L30" i="3"/>
  <c r="L16" i="3"/>
  <c r="L21" i="3"/>
  <c r="L24" i="3"/>
  <c r="L28" i="3"/>
  <c r="L32" i="3"/>
  <c r="L29" i="3"/>
  <c r="S26" i="3"/>
  <c r="S25" i="3"/>
  <c r="S33" i="3"/>
  <c r="S24" i="3"/>
  <c r="S32" i="3"/>
  <c r="S22" i="3"/>
  <c r="S30" i="3"/>
  <c r="S29" i="3"/>
  <c r="S27" i="3"/>
  <c r="S23" i="3"/>
  <c r="S31" i="3"/>
  <c r="S28" i="3"/>
  <c r="T27" i="3"/>
  <c r="T26" i="3"/>
  <c r="T25" i="3"/>
  <c r="T33" i="3"/>
  <c r="T23" i="3"/>
  <c r="T31" i="3"/>
  <c r="T30" i="3"/>
  <c r="T24" i="3"/>
  <c r="T29" i="3"/>
  <c r="T28" i="3"/>
  <c r="T32" i="3"/>
  <c r="Z32" i="3"/>
  <c r="Z31" i="3"/>
  <c r="Z29" i="3"/>
  <c r="Z33" i="3"/>
  <c r="Z30" i="3"/>
  <c r="Q20" i="3"/>
  <c r="Q24" i="3"/>
  <c r="Q23" i="3"/>
  <c r="Q31" i="3"/>
  <c r="Q22" i="3"/>
  <c r="Q30" i="3"/>
  <c r="Q21" i="3"/>
  <c r="Q28" i="3"/>
  <c r="Q27" i="3"/>
  <c r="Q29" i="3"/>
  <c r="Q26" i="3"/>
  <c r="Q33" i="3"/>
  <c r="Q25" i="3"/>
  <c r="Q32" i="3"/>
  <c r="W30" i="3"/>
  <c r="W29" i="3"/>
  <c r="W28" i="3"/>
  <c r="W26" i="3"/>
  <c r="W33" i="3"/>
  <c r="W32" i="3"/>
  <c r="W31" i="3"/>
  <c r="W27" i="3"/>
  <c r="U28" i="3"/>
  <c r="U27" i="3"/>
  <c r="U26" i="3"/>
  <c r="U24" i="3"/>
  <c r="U32" i="3"/>
  <c r="U31" i="3"/>
  <c r="U30" i="3"/>
  <c r="U33" i="3"/>
  <c r="U29" i="3"/>
  <c r="U25" i="3"/>
  <c r="N19" i="3"/>
  <c r="N17" i="3"/>
  <c r="N29" i="3"/>
  <c r="N21" i="3"/>
  <c r="N28" i="3"/>
  <c r="N18" i="3"/>
  <c r="N27" i="3"/>
  <c r="N25" i="3"/>
  <c r="N33" i="3"/>
  <c r="N20" i="3"/>
  <c r="N24" i="3"/>
  <c r="N32" i="3"/>
  <c r="N26" i="3"/>
  <c r="N22" i="3"/>
  <c r="N23" i="3"/>
  <c r="N31" i="3"/>
  <c r="N30" i="3"/>
  <c r="O20" i="3"/>
  <c r="O18" i="3"/>
  <c r="O19" i="3"/>
  <c r="O22" i="3"/>
  <c r="O30" i="3"/>
  <c r="O29" i="3"/>
  <c r="O21" i="3"/>
  <c r="O28" i="3"/>
  <c r="O26" i="3"/>
  <c r="O25" i="3"/>
  <c r="O33" i="3"/>
  <c r="O27" i="3"/>
  <c r="O24" i="3"/>
  <c r="O32" i="3"/>
  <c r="O23" i="3"/>
  <c r="O31" i="3"/>
  <c r="R21" i="3"/>
  <c r="R25" i="3"/>
  <c r="R24" i="3"/>
  <c r="R32" i="3"/>
  <c r="R22" i="3"/>
  <c r="R23" i="3"/>
  <c r="R31" i="3"/>
  <c r="R29" i="3"/>
  <c r="R28" i="3"/>
  <c r="R27" i="3"/>
  <c r="R30" i="3"/>
  <c r="R26" i="3"/>
  <c r="R33" i="3"/>
  <c r="G12" i="3"/>
  <c r="G20" i="3"/>
  <c r="G11" i="3"/>
  <c r="G10" i="3"/>
  <c r="G18" i="3"/>
  <c r="G17" i="3"/>
  <c r="G16" i="3"/>
  <c r="G15" i="3"/>
  <c r="G22" i="3"/>
  <c r="G30" i="3"/>
  <c r="G29" i="3"/>
  <c r="G21" i="3"/>
  <c r="G28" i="3"/>
  <c r="G14" i="3"/>
  <c r="G26" i="3"/>
  <c r="G19" i="3"/>
  <c r="G25" i="3"/>
  <c r="G33" i="3"/>
  <c r="G32" i="3"/>
  <c r="G13" i="3"/>
  <c r="G31" i="3"/>
  <c r="G23" i="3"/>
  <c r="G27" i="3"/>
  <c r="G24" i="3"/>
  <c r="E10" i="3"/>
  <c r="E18" i="3"/>
  <c r="E9" i="3"/>
  <c r="E16" i="3"/>
  <c r="E8" i="3"/>
  <c r="E15" i="3"/>
  <c r="E14" i="3"/>
  <c r="E13" i="3"/>
  <c r="E21" i="3"/>
  <c r="E11" i="3"/>
  <c r="E20" i="3"/>
  <c r="E28" i="3"/>
  <c r="E12" i="3"/>
  <c r="E17" i="3"/>
  <c r="E27" i="3"/>
  <c r="E26" i="3"/>
  <c r="E19" i="3"/>
  <c r="E24" i="3"/>
  <c r="E32" i="3"/>
  <c r="E23" i="3"/>
  <c r="E31" i="3"/>
  <c r="E25" i="3"/>
  <c r="E30" i="3"/>
  <c r="E22" i="3"/>
  <c r="E33" i="3"/>
  <c r="E29" i="3"/>
  <c r="Y31" i="3"/>
  <c r="Y30" i="3"/>
  <c r="Y28" i="3"/>
  <c r="Y33" i="3"/>
  <c r="Y32" i="3"/>
  <c r="Y29" i="3"/>
  <c r="D7" i="3"/>
  <c r="D9" i="3"/>
  <c r="D17" i="3"/>
  <c r="D8" i="3"/>
  <c r="D15" i="3"/>
  <c r="D14" i="3"/>
  <c r="D13" i="3"/>
  <c r="D12" i="3"/>
  <c r="D20" i="3"/>
  <c r="D27" i="3"/>
  <c r="D21" i="3"/>
  <c r="D26" i="3"/>
  <c r="D19" i="3"/>
  <c r="D25" i="3"/>
  <c r="D33" i="3"/>
  <c r="D16" i="3"/>
  <c r="D23" i="3"/>
  <c r="D31" i="3"/>
  <c r="D22" i="3"/>
  <c r="D30" i="3"/>
  <c r="D10" i="3"/>
  <c r="D18" i="3"/>
  <c r="D28" i="3"/>
  <c r="D32" i="3"/>
  <c r="D29" i="3"/>
  <c r="D24" i="3"/>
  <c r="X30" i="3"/>
  <c r="X29" i="3"/>
  <c r="X27" i="3"/>
  <c r="X33" i="3"/>
  <c r="X32" i="3"/>
  <c r="X31" i="3"/>
  <c r="X28" i="3"/>
  <c r="H13" i="3"/>
  <c r="H11" i="3"/>
  <c r="H19" i="3"/>
  <c r="H18" i="3"/>
  <c r="H17" i="3"/>
  <c r="H16" i="3"/>
  <c r="H23" i="3"/>
  <c r="H22" i="3"/>
  <c r="H30" i="3"/>
  <c r="H12" i="3"/>
  <c r="H20" i="3"/>
  <c r="H29" i="3"/>
  <c r="H14" i="3"/>
  <c r="H21" i="3"/>
  <c r="H27" i="3"/>
  <c r="H26" i="3"/>
  <c r="H15" i="3"/>
  <c r="H33" i="3"/>
  <c r="H28" i="3"/>
  <c r="H32" i="3"/>
  <c r="H24" i="3"/>
  <c r="H25" i="3"/>
  <c r="H31" i="3"/>
  <c r="K16" i="3"/>
  <c r="K14" i="3"/>
  <c r="K19" i="3"/>
  <c r="K18" i="3"/>
  <c r="K26" i="3"/>
  <c r="K15" i="3"/>
  <c r="K25" i="3"/>
  <c r="K33" i="3"/>
  <c r="K17" i="3"/>
  <c r="K24" i="3"/>
  <c r="K32" i="3"/>
  <c r="K20" i="3"/>
  <c r="K22" i="3"/>
  <c r="K30" i="3"/>
  <c r="K29" i="3"/>
  <c r="K31" i="3"/>
  <c r="K28" i="3"/>
  <c r="K23" i="3"/>
  <c r="K27" i="3"/>
  <c r="K21" i="3"/>
  <c r="V29" i="3"/>
  <c r="V28" i="3"/>
  <c r="V27" i="3"/>
  <c r="V25" i="3"/>
  <c r="V33" i="3"/>
  <c r="V32" i="3"/>
  <c r="V31" i="3"/>
  <c r="V30" i="3"/>
  <c r="V26" i="3"/>
  <c r="C16" i="3"/>
  <c r="C8" i="3"/>
  <c r="C14" i="3"/>
  <c r="C13" i="3"/>
  <c r="C21" i="3"/>
  <c r="C12" i="3"/>
  <c r="C20" i="3"/>
  <c r="C11" i="3"/>
  <c r="C19" i="3"/>
  <c r="C17" i="3"/>
  <c r="C26" i="3"/>
  <c r="C25" i="3"/>
  <c r="C33" i="3"/>
  <c r="C23" i="3"/>
  <c r="C24" i="3"/>
  <c r="C32" i="3"/>
  <c r="C6" i="3"/>
  <c r="C7" i="3"/>
  <c r="C9" i="3"/>
  <c r="C22" i="3"/>
  <c r="C30" i="3"/>
  <c r="C15" i="3"/>
  <c r="C10" i="3"/>
  <c r="C18" i="3"/>
  <c r="C29" i="3"/>
  <c r="C27" i="3"/>
  <c r="C28" i="3"/>
  <c r="C31" i="3"/>
  <c r="F11" i="3"/>
  <c r="F19" i="3"/>
  <c r="F10" i="3"/>
  <c r="F9" i="3"/>
  <c r="F17" i="3"/>
  <c r="F16" i="3"/>
  <c r="F15" i="3"/>
  <c r="F14" i="3"/>
  <c r="F29" i="3"/>
  <c r="F20" i="3"/>
  <c r="F28" i="3"/>
  <c r="F12" i="3"/>
  <c r="F21" i="3"/>
  <c r="F27" i="3"/>
  <c r="F25" i="3"/>
  <c r="F33" i="3"/>
  <c r="F13" i="3"/>
  <c r="F24" i="3"/>
  <c r="F32" i="3"/>
  <c r="F22" i="3"/>
  <c r="F31" i="3"/>
  <c r="F18" i="3"/>
  <c r="F30" i="3"/>
  <c r="F23" i="3"/>
  <c r="F26" i="3"/>
  <c r="AC32" i="3"/>
  <c r="AC33" i="3"/>
  <c r="I14" i="3"/>
  <c r="I12" i="3"/>
  <c r="I20" i="3"/>
  <c r="I19" i="3"/>
  <c r="I18" i="3"/>
  <c r="I17" i="3"/>
  <c r="I13" i="3"/>
  <c r="I15" i="3"/>
  <c r="I24" i="3"/>
  <c r="I23" i="3"/>
  <c r="I31" i="3"/>
  <c r="I22" i="3"/>
  <c r="I30" i="3"/>
  <c r="I16" i="3"/>
  <c r="I28" i="3"/>
  <c r="I21" i="3"/>
  <c r="I27" i="3"/>
  <c r="I32" i="3"/>
  <c r="I33" i="3"/>
  <c r="I25" i="3"/>
  <c r="I26" i="3"/>
  <c r="I29" i="3"/>
  <c r="AA33" i="3"/>
  <c r="AA32" i="3"/>
  <c r="AA30" i="3"/>
  <c r="AA31" i="3"/>
  <c r="P19" i="3"/>
  <c r="P23" i="3"/>
  <c r="P22" i="3"/>
  <c r="P30" i="3"/>
  <c r="P29" i="3"/>
  <c r="P21" i="3"/>
  <c r="P27" i="3"/>
  <c r="P26" i="3"/>
  <c r="P20" i="3"/>
  <c r="P24" i="3"/>
  <c r="P28" i="3"/>
  <c r="P33" i="3"/>
  <c r="P25" i="3"/>
  <c r="P32" i="3"/>
  <c r="P31" i="3"/>
  <c r="AB33" i="3"/>
  <c r="AB31" i="3"/>
  <c r="AB32" i="3"/>
  <c r="J15" i="3"/>
  <c r="J13" i="3"/>
  <c r="J21" i="3"/>
  <c r="J20" i="3"/>
  <c r="J19" i="3"/>
  <c r="J18" i="3"/>
  <c r="J25" i="3"/>
  <c r="J24" i="3"/>
  <c r="J32" i="3"/>
  <c r="J17" i="3"/>
  <c r="J23" i="3"/>
  <c r="J31" i="3"/>
  <c r="J22" i="3"/>
  <c r="J29" i="3"/>
  <c r="J14" i="3"/>
  <c r="J16" i="3"/>
  <c r="J28" i="3"/>
  <c r="J26" i="3"/>
  <c r="J33" i="3"/>
  <c r="J30" i="3"/>
  <c r="J27" i="3"/>
  <c r="M18" i="3"/>
  <c r="M16" i="3"/>
  <c r="M21" i="3"/>
  <c r="M28" i="3"/>
  <c r="M27" i="3"/>
  <c r="M26" i="3"/>
  <c r="M17" i="3"/>
  <c r="M20" i="3"/>
  <c r="M24" i="3"/>
  <c r="M32" i="3"/>
  <c r="M23" i="3"/>
  <c r="M31" i="3"/>
  <c r="M29" i="3"/>
  <c r="M22" i="3"/>
  <c r="M33" i="3"/>
  <c r="M25" i="3"/>
  <c r="M19" i="3"/>
  <c r="M30" i="3"/>
  <c r="B8" i="3"/>
  <c r="B15" i="3"/>
  <c r="B13" i="3"/>
  <c r="B21" i="3"/>
  <c r="B12" i="3"/>
  <c r="B20" i="3"/>
  <c r="B11" i="3"/>
  <c r="B19" i="3"/>
  <c r="B10" i="3"/>
  <c r="B18" i="3"/>
  <c r="B25" i="3"/>
  <c r="B24" i="3"/>
  <c r="B32" i="3"/>
  <c r="B6" i="3"/>
  <c r="B14" i="3"/>
  <c r="B16" i="3"/>
  <c r="B23" i="3"/>
  <c r="B31" i="3"/>
  <c r="B7" i="3"/>
  <c r="B9" i="3"/>
  <c r="B22" i="3"/>
  <c r="B29" i="3"/>
  <c r="B28" i="3"/>
  <c r="B30" i="3"/>
  <c r="B27" i="3"/>
  <c r="B33" i="3"/>
  <c r="B26" i="3"/>
  <c r="B17" i="3"/>
  <c r="AB27" i="2" l="1"/>
  <c r="C11" i="4"/>
  <c r="C15" i="4" s="1"/>
  <c r="AC30" i="2"/>
  <c r="C21" i="4" l="1"/>
  <c r="C23" i="4" l="1"/>
  <c r="C19" i="4"/>
  <c r="C22" i="4" s="1"/>
  <c r="B25" i="4" l="1"/>
  <c r="C18" i="4"/>
  <c r="C25" i="4" s="1"/>
  <c r="J2" i="4" l="1"/>
  <c r="J3" i="4"/>
  <c r="J4" i="4"/>
  <c r="X4" i="4" s="1"/>
  <c r="J12" i="4"/>
  <c r="X12" i="4" s="1"/>
  <c r="J20" i="4"/>
  <c r="X20" i="4" s="1"/>
  <c r="J28" i="4"/>
  <c r="X28" i="4" s="1"/>
  <c r="J5" i="4"/>
  <c r="J13" i="4"/>
  <c r="X13" i="4" s="1"/>
  <c r="J21" i="4"/>
  <c r="X21" i="4" s="1"/>
  <c r="J29" i="4"/>
  <c r="X29" i="4" s="1"/>
  <c r="J19" i="4"/>
  <c r="X19" i="4" s="1"/>
  <c r="J27" i="4"/>
  <c r="X27" i="4" s="1"/>
  <c r="J6" i="4"/>
  <c r="J14" i="4"/>
  <c r="X14" i="4" s="1"/>
  <c r="J22" i="4"/>
  <c r="X22" i="4" s="1"/>
  <c r="J30" i="4"/>
  <c r="X30" i="4" s="1"/>
  <c r="J9" i="4"/>
  <c r="J25" i="4"/>
  <c r="X25" i="4" s="1"/>
  <c r="J18" i="4"/>
  <c r="X18" i="4" s="1"/>
  <c r="J7" i="4"/>
  <c r="J15" i="4"/>
  <c r="X15" i="4" s="1"/>
  <c r="J23" i="4"/>
  <c r="X23" i="4" s="1"/>
  <c r="J31" i="4"/>
  <c r="X31" i="4" s="1"/>
  <c r="J17" i="4"/>
  <c r="X17" i="4" s="1"/>
  <c r="J10" i="4"/>
  <c r="J26" i="4"/>
  <c r="X26" i="4" s="1"/>
  <c r="J11" i="4"/>
  <c r="J8" i="4"/>
  <c r="J16" i="4"/>
  <c r="X16" i="4" s="1"/>
  <c r="J24" i="4"/>
  <c r="X24" i="4" s="1"/>
  <c r="U21" i="4" l="1"/>
  <c r="V21" i="4"/>
  <c r="U30" i="4"/>
  <c r="V30" i="4"/>
  <c r="U14" i="4"/>
  <c r="V14" i="4"/>
  <c r="U20" i="4"/>
  <c r="V20" i="4"/>
  <c r="U31" i="4"/>
  <c r="V31" i="4"/>
  <c r="U24" i="4"/>
  <c r="V24" i="4"/>
  <c r="U27" i="4"/>
  <c r="V27" i="4"/>
  <c r="U12" i="4"/>
  <c r="V12" i="4"/>
  <c r="U13" i="4"/>
  <c r="V13" i="4"/>
  <c r="U28" i="4"/>
  <c r="V28" i="4"/>
  <c r="U4" i="4"/>
  <c r="V4" i="4"/>
  <c r="U17" i="4"/>
  <c r="V17" i="4"/>
  <c r="U22" i="4"/>
  <c r="V22" i="4"/>
  <c r="U23" i="4"/>
  <c r="V23" i="4"/>
  <c r="U16" i="4"/>
  <c r="V16" i="4"/>
  <c r="U15" i="4"/>
  <c r="V15" i="4"/>
  <c r="U18" i="4"/>
  <c r="V18" i="4"/>
  <c r="U19" i="4"/>
  <c r="V19" i="4"/>
  <c r="U26" i="4"/>
  <c r="V26" i="4"/>
  <c r="U25" i="4"/>
  <c r="V25" i="4"/>
  <c r="U29" i="4"/>
  <c r="V29" i="4"/>
  <c r="R26" i="4"/>
  <c r="R17" i="4"/>
  <c r="R13" i="4"/>
  <c r="R31" i="4"/>
  <c r="R22" i="4"/>
  <c r="R29" i="4"/>
  <c r="R28" i="4"/>
  <c r="R25" i="4"/>
  <c r="R21" i="4"/>
  <c r="R24" i="4"/>
  <c r="R14" i="4"/>
  <c r="R15" i="4"/>
  <c r="R20" i="4"/>
  <c r="R19" i="4"/>
  <c r="R30" i="4"/>
  <c r="R23" i="4"/>
  <c r="R16" i="4"/>
  <c r="R27" i="4"/>
  <c r="R12" i="4"/>
  <c r="R4" i="4"/>
  <c r="R18" i="4"/>
  <c r="Q4" i="4"/>
  <c r="Q3" i="4"/>
  <c r="Q2" i="4"/>
  <c r="Q10" i="4"/>
  <c r="Q17" i="4"/>
  <c r="Q31" i="4"/>
  <c r="Q22" i="4"/>
  <c r="Q24" i="4"/>
  <c r="Q23" i="4"/>
  <c r="Q14" i="4"/>
  <c r="Q28" i="4"/>
  <c r="Q9" i="4"/>
  <c r="Q30" i="4"/>
  <c r="Q16" i="4"/>
  <c r="Q15" i="4"/>
  <c r="Q6" i="4"/>
  <c r="Q20" i="4"/>
  <c r="Q21" i="4"/>
  <c r="Q13" i="4"/>
  <c r="Q8" i="4"/>
  <c r="Q7" i="4"/>
  <c r="Q27" i="4"/>
  <c r="Q12" i="4"/>
  <c r="Q19" i="4"/>
  <c r="Q11" i="4"/>
  <c r="Q18" i="4"/>
  <c r="Q26" i="4"/>
  <c r="Q25" i="4"/>
  <c r="Q29" i="4"/>
  <c r="Q5" i="4"/>
  <c r="O31" i="4"/>
  <c r="M31" i="4"/>
  <c r="O22" i="4"/>
  <c r="M22" i="4"/>
  <c r="O24" i="4"/>
  <c r="M24" i="4"/>
  <c r="O23" i="4"/>
  <c r="M23" i="4"/>
  <c r="O14" i="4"/>
  <c r="M14" i="4"/>
  <c r="O28" i="4"/>
  <c r="M28" i="4"/>
  <c r="O17" i="4"/>
  <c r="M17" i="4"/>
  <c r="O20" i="4"/>
  <c r="M20" i="4"/>
  <c r="O13" i="4"/>
  <c r="M13" i="4"/>
  <c r="O16" i="4"/>
  <c r="M16" i="4"/>
  <c r="O27" i="4"/>
  <c r="M27" i="4"/>
  <c r="O12" i="4"/>
  <c r="M12" i="4"/>
  <c r="O18" i="4"/>
  <c r="M18" i="4"/>
  <c r="O19" i="4"/>
  <c r="M19" i="4"/>
  <c r="O4" i="4"/>
  <c r="M4" i="4"/>
  <c r="O30" i="4"/>
  <c r="M30" i="4"/>
  <c r="O15" i="4"/>
  <c r="M15" i="4"/>
  <c r="O26" i="4"/>
  <c r="M26" i="4"/>
  <c r="O25" i="4"/>
  <c r="M25" i="4"/>
  <c r="O29" i="4"/>
  <c r="M29" i="4"/>
  <c r="O21" i="4"/>
  <c r="M21" i="4"/>
  <c r="N26" i="4"/>
  <c r="N17" i="4"/>
  <c r="N13" i="4"/>
  <c r="N31" i="4"/>
  <c r="N22" i="4"/>
  <c r="N4" i="4"/>
  <c r="N24" i="4"/>
  <c r="N19" i="4"/>
  <c r="N29" i="4"/>
  <c r="N21" i="4"/>
  <c r="N23" i="4"/>
  <c r="N28" i="4"/>
  <c r="N16" i="4"/>
  <c r="N15" i="4"/>
  <c r="N20" i="4"/>
  <c r="N25" i="4"/>
  <c r="N30" i="4"/>
  <c r="N14" i="4"/>
  <c r="N27" i="4"/>
  <c r="N12" i="4"/>
  <c r="N18" i="4"/>
  <c r="K6" i="4"/>
  <c r="P6" i="4" s="1"/>
  <c r="K5" i="4"/>
  <c r="P5" i="4" s="1"/>
  <c r="K8" i="4"/>
  <c r="P8" i="4" s="1"/>
  <c r="K7" i="4"/>
  <c r="P7" i="4" s="1"/>
  <c r="K4" i="4"/>
  <c r="P4" i="4" s="1"/>
  <c r="K11" i="4"/>
  <c r="P11" i="4" s="1"/>
  <c r="K3" i="4"/>
  <c r="P3" i="4" s="1"/>
  <c r="K10" i="4"/>
  <c r="P10" i="4" s="1"/>
  <c r="K9" i="4"/>
  <c r="P9" i="4" s="1"/>
  <c r="K19" i="4"/>
  <c r="P19" i="4" s="1"/>
  <c r="K30" i="4"/>
  <c r="P30" i="4" s="1"/>
  <c r="K17" i="4"/>
  <c r="P17" i="4" s="1"/>
  <c r="K13" i="4"/>
  <c r="P13" i="4" s="1"/>
  <c r="K31" i="4"/>
  <c r="P31" i="4" s="1"/>
  <c r="K22" i="4"/>
  <c r="P22" i="4" s="1"/>
  <c r="K24" i="4"/>
  <c r="P24" i="4" s="1"/>
  <c r="K23" i="4"/>
  <c r="P23" i="4" s="1"/>
  <c r="K14" i="4"/>
  <c r="P14" i="4" s="1"/>
  <c r="K28" i="4"/>
  <c r="P28" i="4" s="1"/>
  <c r="K15" i="4"/>
  <c r="P15" i="4" s="1"/>
  <c r="K20" i="4"/>
  <c r="P20" i="4" s="1"/>
  <c r="K26" i="4"/>
  <c r="P26" i="4" s="1"/>
  <c r="K16" i="4"/>
  <c r="P16" i="4" s="1"/>
  <c r="K27" i="4"/>
  <c r="P27" i="4" s="1"/>
  <c r="K12" i="4"/>
  <c r="P12" i="4" s="1"/>
  <c r="K18" i="4"/>
  <c r="P18" i="4" s="1"/>
  <c r="K25" i="4"/>
  <c r="P25" i="4" s="1"/>
  <c r="K29" i="4"/>
  <c r="P29" i="4" s="1"/>
  <c r="K21" i="4"/>
  <c r="P21" i="4" s="1"/>
  <c r="K2" i="4"/>
  <c r="P2" i="4" s="1"/>
  <c r="R3" i="4" l="1"/>
  <c r="U3" i="4" s="1"/>
  <c r="V3" i="4" s="1"/>
  <c r="R2" i="4"/>
  <c r="U2" i="4" s="1"/>
  <c r="V2" i="4" s="1"/>
  <c r="R11" i="4"/>
  <c r="U11" i="4" s="1"/>
  <c r="V11" i="4" s="1"/>
  <c r="R7" i="4"/>
  <c r="U7" i="4" s="1"/>
  <c r="V7" i="4" s="1"/>
  <c r="R8" i="4"/>
  <c r="U8" i="4" s="1"/>
  <c r="V8" i="4" s="1"/>
  <c r="R9" i="4"/>
  <c r="U9" i="4" s="1"/>
  <c r="V9" i="4" s="1"/>
  <c r="R10" i="4"/>
  <c r="U10" i="4" s="1"/>
  <c r="V10" i="4" s="1"/>
  <c r="R6" i="4"/>
  <c r="U6" i="4" s="1"/>
  <c r="V6" i="4" s="1"/>
  <c r="R5" i="4"/>
  <c r="U5" i="4" s="1"/>
  <c r="V5" i="4" s="1"/>
  <c r="M2" i="4"/>
  <c r="N2" i="4" s="1"/>
  <c r="O2" i="4" s="1"/>
  <c r="X2" i="4" s="1"/>
  <c r="M3" i="4"/>
  <c r="N3" i="4" s="1"/>
  <c r="O3" i="4" s="1"/>
  <c r="X3" i="4" s="1"/>
  <c r="L18" i="4"/>
  <c r="L19" i="4"/>
  <c r="L5" i="4"/>
  <c r="M5" i="4" s="1"/>
  <c r="N5" i="4" s="1"/>
  <c r="O5" i="4" s="1"/>
  <c r="X5" i="4" s="1"/>
  <c r="L30" i="4"/>
  <c r="L23" i="4"/>
  <c r="L6" i="4"/>
  <c r="M6" i="4" s="1"/>
  <c r="N6" i="4" s="1"/>
  <c r="O6" i="4" s="1"/>
  <c r="X6" i="4" s="1"/>
  <c r="L28" i="4"/>
  <c r="L12" i="4"/>
  <c r="L10" i="4"/>
  <c r="M10" i="4" s="1"/>
  <c r="N10" i="4" s="1"/>
  <c r="O10" i="4" s="1"/>
  <c r="X10" i="4" s="1"/>
  <c r="L9" i="4"/>
  <c r="M9" i="4" s="1"/>
  <c r="N9" i="4" s="1"/>
  <c r="O9" i="4" s="1"/>
  <c r="X9" i="4" s="1"/>
  <c r="L27" i="4"/>
  <c r="L24" i="4"/>
  <c r="L16" i="4"/>
  <c r="L22" i="4"/>
  <c r="L3" i="4"/>
  <c r="L8" i="4"/>
  <c r="M8" i="4" s="1"/>
  <c r="N8" i="4" s="1"/>
  <c r="O8" i="4" s="1"/>
  <c r="X8" i="4" s="1"/>
  <c r="L14" i="4"/>
  <c r="L11" i="4"/>
  <c r="M11" i="4" s="1"/>
  <c r="N11" i="4" s="1"/>
  <c r="O11" i="4" s="1"/>
  <c r="X11" i="4" s="1"/>
  <c r="L26" i="4"/>
  <c r="L31" i="4"/>
  <c r="L21" i="4"/>
  <c r="L20" i="4"/>
  <c r="L13" i="4"/>
  <c r="L4" i="4"/>
  <c r="L25" i="4"/>
  <c r="L29" i="4"/>
  <c r="L15" i="4"/>
  <c r="L17" i="4"/>
  <c r="L7" i="4"/>
  <c r="M7" i="4" s="1"/>
  <c r="N7" i="4" s="1"/>
  <c r="O7" i="4" s="1"/>
  <c r="X7" i="4" s="1"/>
  <c r="L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Fenix</author>
  </authors>
  <commentList>
    <comment ref="X1" authorId="0" shapeId="0" xr:uid="{AD3881C2-77E0-4D04-8671-4D03B4085D45}">
      <text>
        <r>
          <rPr>
            <b/>
            <sz val="9"/>
            <color indexed="81"/>
            <rFont val="Tahoma"/>
            <family val="2"/>
          </rPr>
          <t>Fenix:</t>
        </r>
        <r>
          <rPr>
            <sz val="9"/>
            <color indexed="81"/>
            <rFont val="Tahoma"/>
            <family val="2"/>
          </rPr>
          <t xml:space="preserve">
Lead Angle of the target planet/destination necessary for trajectory.</t>
        </r>
      </text>
    </comment>
  </commentList>
</comments>
</file>

<file path=xl/sharedStrings.xml><?xml version="1.0" encoding="utf-8"?>
<sst xmlns="http://schemas.openxmlformats.org/spreadsheetml/2006/main" count="127" uniqueCount="106">
  <si>
    <t>Mass(kg)</t>
  </si>
  <si>
    <t>Radius(m)</t>
  </si>
  <si>
    <t>TU(s)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</si>
  <si>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</si>
  <si>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</si>
  <si>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</si>
  <si>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</si>
  <si>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</si>
  <si>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</si>
  <si>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</si>
  <si>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</si>
  <si>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</si>
  <si>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</si>
  <si>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</si>
  <si>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</si>
  <si>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</si>
  <si>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</si>
  <si>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</si>
  <si>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</si>
  <si>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</si>
  <si>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</si>
  <si>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S30</t>
  </si>
  <si>
    <t>S29</t>
  </si>
  <si>
    <t>Semi-Major Axis(m)</t>
  </si>
  <si>
    <t>Name</t>
  </si>
  <si>
    <t>Orbital Period(s)</t>
  </si>
  <si>
    <t>Orbital Velocity(km/s)</t>
  </si>
  <si>
    <t>Mass Primary (kg) =</t>
  </si>
  <si>
    <t>Those Pesky Belters and Their Torchships</t>
  </si>
  <si>
    <t>Newton's G =</t>
  </si>
  <si>
    <t>GM of primary =</t>
  </si>
  <si>
    <t>Synodic Periods and Transit Times for Hohmann Travel</t>
  </si>
  <si>
    <r>
      <t>TIME SCALE:</t>
    </r>
    <r>
      <rPr>
        <sz val="10"/>
        <rFont val="Arial"/>
        <family val="2"/>
      </rPr>
      <t xml:space="preserve"> input </t>
    </r>
    <r>
      <rPr>
        <b/>
        <sz val="10"/>
        <color indexed="10"/>
        <rFont val="Arial"/>
        <family val="2"/>
      </rPr>
      <t>1</t>
    </r>
    <r>
      <rPr>
        <sz val="10"/>
        <color indexed="10"/>
        <rFont val="Arial"/>
        <family val="2"/>
      </rPr>
      <t xml:space="preserve"> for </t>
    </r>
    <r>
      <rPr>
        <b/>
        <i/>
        <sz val="10"/>
        <color indexed="10"/>
        <rFont val="Arial"/>
        <family val="2"/>
      </rPr>
      <t>seconds</t>
    </r>
    <r>
      <rPr>
        <sz val="10"/>
        <rFont val="Arial"/>
        <family val="2"/>
      </rPr>
      <t>,</t>
    </r>
    <r>
      <rPr>
        <b/>
        <sz val="10"/>
        <rFont val="Arial"/>
        <family val="2"/>
      </rPr>
      <t xml:space="preserve"> </t>
    </r>
    <r>
      <rPr>
        <b/>
        <sz val="10"/>
        <color indexed="53"/>
        <rFont val="Arial"/>
        <family val="2"/>
      </rPr>
      <t>60</t>
    </r>
    <r>
      <rPr>
        <sz val="10"/>
        <color indexed="53"/>
        <rFont val="Arial"/>
        <family val="2"/>
      </rPr>
      <t xml:space="preserve"> for </t>
    </r>
    <r>
      <rPr>
        <b/>
        <i/>
        <sz val="10"/>
        <color indexed="53"/>
        <rFont val="Arial"/>
        <family val="2"/>
      </rPr>
      <t>minutes</t>
    </r>
    <r>
      <rPr>
        <sz val="10"/>
        <rFont val="Arial"/>
        <family val="2"/>
      </rPr>
      <t xml:space="preserve">, </t>
    </r>
    <r>
      <rPr>
        <b/>
        <sz val="10"/>
        <color indexed="52"/>
        <rFont val="Arial"/>
        <family val="2"/>
      </rPr>
      <t>3600</t>
    </r>
    <r>
      <rPr>
        <sz val="10"/>
        <color indexed="52"/>
        <rFont val="Arial"/>
        <family val="2"/>
      </rPr>
      <t xml:space="preserve"> for </t>
    </r>
    <r>
      <rPr>
        <b/>
        <i/>
        <sz val="10"/>
        <color indexed="52"/>
        <rFont val="Arial"/>
        <family val="2"/>
      </rPr>
      <t>hours</t>
    </r>
    <r>
      <rPr>
        <sz val="10"/>
        <rFont val="Arial"/>
        <family val="2"/>
      </rPr>
      <t xml:space="preserve">, </t>
    </r>
    <r>
      <rPr>
        <b/>
        <sz val="10"/>
        <color indexed="17"/>
        <rFont val="Arial"/>
        <family val="2"/>
      </rPr>
      <t>86400</t>
    </r>
    <r>
      <rPr>
        <sz val="10"/>
        <color indexed="17"/>
        <rFont val="Arial"/>
        <family val="2"/>
      </rPr>
      <t xml:space="preserve"> for </t>
    </r>
    <r>
      <rPr>
        <b/>
        <i/>
        <sz val="10"/>
        <color indexed="17"/>
        <rFont val="Arial"/>
        <family val="2"/>
      </rPr>
      <t>days</t>
    </r>
    <r>
      <rPr>
        <sz val="10"/>
        <rFont val="Arial"/>
        <family val="2"/>
      </rPr>
      <t xml:space="preserve">, </t>
    </r>
    <r>
      <rPr>
        <b/>
        <sz val="10"/>
        <color indexed="12"/>
        <rFont val="Arial"/>
        <family val="2"/>
      </rPr>
      <t>2592000</t>
    </r>
    <r>
      <rPr>
        <sz val="10"/>
        <color indexed="12"/>
        <rFont val="Arial"/>
        <family val="2"/>
      </rPr>
      <t xml:space="preserve"> for (30 day) </t>
    </r>
    <r>
      <rPr>
        <b/>
        <i/>
        <sz val="10"/>
        <color indexed="12"/>
        <rFont val="Arial"/>
        <family val="2"/>
      </rPr>
      <t>months</t>
    </r>
    <r>
      <rPr>
        <sz val="10"/>
        <rFont val="Arial"/>
        <family val="2"/>
      </rPr>
      <t xml:space="preserve">, or </t>
    </r>
    <r>
      <rPr>
        <b/>
        <sz val="10"/>
        <color indexed="20"/>
        <rFont val="Arial"/>
        <family val="2"/>
      </rPr>
      <t>31536000</t>
    </r>
    <r>
      <rPr>
        <sz val="10"/>
        <color indexed="20"/>
        <rFont val="Arial"/>
        <family val="2"/>
      </rPr>
      <t xml:space="preserve"> for </t>
    </r>
    <r>
      <rPr>
        <b/>
        <i/>
        <sz val="10"/>
        <color indexed="20"/>
        <rFont val="Arial"/>
        <family val="2"/>
      </rPr>
      <t>years</t>
    </r>
  </si>
  <si>
    <t>Transit times are below the diagonal in blue.</t>
  </si>
  <si>
    <t>Orbital Period(d)</t>
  </si>
  <si>
    <t>Delta V required for travel through the system</t>
  </si>
  <si>
    <t>Values below the diagonal in blue are delta V's needed to go from orbit around one satellite to orbit around the other, landing on neither.</t>
  </si>
  <si>
    <t>Values above the diagonal in green are delta V's needed to go from the surface of one satellite to the surface of the other, taking off and landing.</t>
  </si>
  <si>
    <r>
      <t xml:space="preserve">All values are in </t>
    </r>
    <r>
      <rPr>
        <i/>
        <sz val="10"/>
        <rFont val="Arial"/>
        <family val="2"/>
      </rPr>
      <t>kilometers per second (km/s)</t>
    </r>
    <r>
      <rPr>
        <sz val="10"/>
        <rFont val="Arial"/>
        <family val="2"/>
      </rPr>
      <t>.</t>
    </r>
  </si>
  <si>
    <r>
      <t>IMPORTANT</t>
    </r>
    <r>
      <rPr>
        <b/>
        <sz val="10"/>
        <rFont val="Arial"/>
        <family val="2"/>
      </rPr>
      <t>:</t>
    </r>
    <r>
      <rPr>
        <sz val="10"/>
        <rFont val="Arial"/>
        <family val="2"/>
      </rPr>
      <t xml:space="preserve"> Start with object closest to primary and input in order of increasing semi-major axis.</t>
    </r>
  </si>
  <si>
    <t>Orbital Period, Orbital Velocity and TU will calculate, and Sheet 2 &amp; 3 will fill with the desired data.</t>
  </si>
  <si>
    <r>
      <t>Input the mass of the Primary in kilograms (</t>
    </r>
    <r>
      <rPr>
        <i/>
        <sz val="10"/>
        <rFont val="Arial"/>
        <family val="2"/>
      </rPr>
      <t xml:space="preserve">i.e, </t>
    </r>
    <r>
      <rPr>
        <sz val="10"/>
        <rFont val="Arial"/>
        <family val="2"/>
      </rPr>
      <t>the Sun, Jupiter, etc.)</t>
    </r>
  </si>
  <si>
    <t>Input the mass in kilograms, radius of object in meters, and semi-major axis of orbit in meters of all desired objects around the Primary</t>
  </si>
  <si>
    <r>
      <t>Synodic periods (</t>
    </r>
    <r>
      <rPr>
        <i/>
        <sz val="10"/>
        <color indexed="17"/>
        <rFont val="Arial"/>
        <family val="2"/>
      </rPr>
      <t>i.e.,</t>
    </r>
    <r>
      <rPr>
        <sz val="10"/>
        <color indexed="17"/>
        <rFont val="Arial"/>
        <family val="2"/>
      </rPr>
      <t xml:space="preserve"> Hohmann launch windows) are above the diagonal in green.</t>
    </r>
  </si>
  <si>
    <t>Diagonal values in gold are delta V's needed to take off from the surface of a satellite and go into circular orbit around it, or to land from a circular orbit.</t>
  </si>
  <si>
    <r>
      <t xml:space="preserve">WARNING: </t>
    </r>
    <r>
      <rPr>
        <sz val="10"/>
        <rFont val="Arial"/>
        <family val="2"/>
      </rPr>
      <t>these values do not take orbital inclination into account.</t>
    </r>
  </si>
  <si>
    <r>
      <t>WARNING:</t>
    </r>
    <r>
      <rPr>
        <sz val="10"/>
        <rFont val="Arial"/>
        <family val="2"/>
      </rPr>
      <t xml:space="preserve"> these values do not take retrograde orbits into account.Such orbits are flagged with </t>
    </r>
    <r>
      <rPr>
        <b/>
        <sz val="10"/>
        <rFont val="Arial"/>
        <family val="2"/>
      </rPr>
      <t>#NUM!</t>
    </r>
  </si>
  <si>
    <t>Sol</t>
  </si>
  <si>
    <t>Mercury</t>
  </si>
  <si>
    <t>Venus</t>
  </si>
  <si>
    <t>Earth</t>
  </si>
  <si>
    <t>Mars</t>
  </si>
  <si>
    <t>Ceres</t>
  </si>
  <si>
    <t>Jupiter</t>
  </si>
  <si>
    <t>Saturn</t>
  </si>
  <si>
    <t>Uranus</t>
  </si>
  <si>
    <t>Neptune</t>
  </si>
  <si>
    <t>Pluto</t>
  </si>
  <si>
    <t/>
  </si>
  <si>
    <t>GM</t>
  </si>
  <si>
    <t>Escape Velocity(m/s)</t>
  </si>
  <si>
    <t>LO Vel(m/s)</t>
  </si>
  <si>
    <t>km/s</t>
  </si>
  <si>
    <t>Orb.H</t>
  </si>
  <si>
    <t>km</t>
  </si>
  <si>
    <t>V</t>
  </si>
  <si>
    <t>V'</t>
  </si>
  <si>
    <t>Vesc</t>
  </si>
  <si>
    <r>
      <t>V</t>
    </r>
    <r>
      <rPr>
        <sz val="10"/>
        <rFont val="Calibri"/>
        <family val="2"/>
      </rPr>
      <t>∞</t>
    </r>
  </si>
  <si>
    <t>BURN</t>
  </si>
  <si>
    <t>departing</t>
  </si>
  <si>
    <t>EJECTION</t>
  </si>
  <si>
    <t>SMA</t>
  </si>
  <si>
    <t>m</t>
  </si>
  <si>
    <t>Hej</t>
  </si>
  <si>
    <t>e</t>
  </si>
  <si>
    <t>period</t>
  </si>
  <si>
    <t>day</t>
  </si>
  <si>
    <t>FPA deg</t>
  </si>
  <si>
    <t>M deg</t>
  </si>
  <si>
    <t>E deg</t>
  </si>
  <si>
    <t>θ deg</t>
  </si>
  <si>
    <t>INJ.H</t>
  </si>
  <si>
    <t>Vorb km/s</t>
  </si>
  <si>
    <t>dV insert km/s</t>
  </si>
  <si>
    <t>Vesc km/s</t>
  </si>
  <si>
    <t>T days</t>
  </si>
  <si>
    <t>Vrel km/s</t>
  </si>
  <si>
    <t>Σdv km/s</t>
  </si>
  <si>
    <t>Destination</t>
  </si>
  <si>
    <t>Reach-able?</t>
  </si>
  <si>
    <t>ΘLead deg</t>
  </si>
  <si>
    <t>dV Threshold</t>
  </si>
  <si>
    <t>Transit Time</t>
  </si>
  <si>
    <t>Minimal</t>
  </si>
  <si>
    <t>Maxima</t>
  </si>
  <si>
    <t>days</t>
  </si>
  <si>
    <t>Departure</t>
  </si>
  <si>
    <t>Arrival</t>
  </si>
  <si>
    <t>Radius</t>
  </si>
  <si>
    <t>Mass</t>
  </si>
  <si>
    <t>kg</t>
  </si>
  <si>
    <t>angular search res</t>
  </si>
  <si>
    <t>deg</t>
  </si>
  <si>
    <t>chrono search res</t>
  </si>
  <si>
    <t>Orbital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</si>
</sst>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E+00"/>
    <numFmt numFmtId="165" formatCode="0.000E+00"/>
    <numFmt numFmtId="166" formatCode="0.000"/>
    <numFmt numFmtId="167" formatCode="#,##0.0"/>
  </numFmts>
  <fonts count="30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53"/>
      <name val="Arial"/>
      <family val="2"/>
    </font>
    <font>
      <sz val="10"/>
      <color indexed="53"/>
      <name val="Arial"/>
      <family val="2"/>
    </font>
    <font>
      <b/>
      <i/>
      <sz val="10"/>
      <color indexed="53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b/>
      <i/>
      <sz val="10"/>
      <color indexed="52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b/>
      <i/>
      <sz val="10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b/>
      <sz val="10"/>
      <color indexed="20"/>
      <name val="Arial"/>
      <family val="2"/>
    </font>
    <font>
      <sz val="10"/>
      <color indexed="20"/>
      <name val="Arial"/>
      <family val="2"/>
    </font>
    <font>
      <b/>
      <i/>
      <sz val="10"/>
      <color indexed="20"/>
      <name val="Arial"/>
      <family val="2"/>
    </font>
    <font>
      <i/>
      <sz val="10"/>
      <color indexed="17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2"/>
      <name val="Arial"/>
      <family val="2"/>
    </font>
    <font>
      <sz val="8"/>
      <color rgb="FF000000"/>
      <name val="Segoe UI"/>
      <family val="2"/>
    </font>
    <font>
      <sz val="10"/>
      <color theme="2" tint="-0.49998474074526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1" xfId="0" applyFill="1" applyBorder="1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Fill="1" applyBorder="1"/>
    <xf numFmtId="11" fontId="0" fillId="0" borderId="0" xfId="0" applyNumberFormat="1" applyFill="1" applyBorder="1"/>
    <xf numFmtId="0" fontId="2" fillId="0" borderId="0" xfId="0" applyFont="1"/>
    <xf numFmtId="0" fontId="0" fillId="0" borderId="2" xfId="0" applyNumberFormat="1" applyFill="1" applyBorder="1"/>
    <xf numFmtId="0" fontId="0" fillId="0" borderId="2" xfId="0" applyFill="1" applyBorder="1"/>
    <xf numFmtId="0" fontId="0" fillId="0" borderId="3" xfId="0" applyFill="1" applyBorder="1"/>
    <xf numFmtId="0" fontId="0" fillId="4" borderId="2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right"/>
    </xf>
    <xf numFmtId="2" fontId="0" fillId="4" borderId="2" xfId="0" applyNumberFormat="1" applyFill="1" applyBorder="1"/>
    <xf numFmtId="2" fontId="0" fillId="0" borderId="2" xfId="0" applyNumberFormat="1" applyFill="1" applyBorder="1"/>
    <xf numFmtId="2" fontId="0" fillId="5" borderId="1" xfId="0" applyNumberFormat="1" applyFill="1" applyBorder="1"/>
    <xf numFmtId="2" fontId="0" fillId="6" borderId="1" xfId="0" applyNumberFormat="1" applyFill="1" applyBorder="1"/>
    <xf numFmtId="2" fontId="0" fillId="7" borderId="1" xfId="0" applyNumberFormat="1" applyFill="1" applyBorder="1"/>
    <xf numFmtId="2" fontId="0" fillId="8" borderId="1" xfId="0" applyNumberFormat="1" applyFill="1" applyBorder="1"/>
    <xf numFmtId="2" fontId="0" fillId="9" borderId="1" xfId="0" applyNumberFormat="1" applyFill="1" applyBorder="1"/>
    <xf numFmtId="2" fontId="4" fillId="9" borderId="1" xfId="0" applyNumberFormat="1" applyFont="1" applyFill="1" applyBorder="1"/>
    <xf numFmtId="11" fontId="0" fillId="3" borderId="1" xfId="0" applyNumberFormat="1" applyFill="1" applyBorder="1"/>
    <xf numFmtId="164" fontId="0" fillId="2" borderId="2" xfId="0" applyNumberFormat="1" applyFill="1" applyBorder="1"/>
    <xf numFmtId="164" fontId="0" fillId="3" borderId="1" xfId="0" applyNumberFormat="1" applyFill="1" applyBorder="1"/>
    <xf numFmtId="164" fontId="0" fillId="2" borderId="1" xfId="0" applyNumberFormat="1" applyFill="1" applyBorder="1"/>
    <xf numFmtId="165" fontId="0" fillId="2" borderId="2" xfId="0" applyNumberFormat="1" applyFill="1" applyBorder="1"/>
    <xf numFmtId="165" fontId="0" fillId="3" borderId="1" xfId="0" applyNumberFormat="1" applyFill="1" applyBorder="1"/>
    <xf numFmtId="165" fontId="0" fillId="2" borderId="1" xfId="0" applyNumberFormat="1" applyFill="1" applyBorder="1"/>
    <xf numFmtId="0" fontId="5" fillId="0" borderId="0" xfId="0" applyFont="1"/>
    <xf numFmtId="166" fontId="0" fillId="10" borderId="1" xfId="0" applyNumberFormat="1" applyFill="1" applyBorder="1"/>
    <xf numFmtId="166" fontId="0" fillId="5" borderId="1" xfId="0" applyNumberFormat="1" applyFill="1" applyBorder="1"/>
    <xf numFmtId="166" fontId="0" fillId="6" borderId="1" xfId="0" applyNumberFormat="1" applyFill="1" applyBorder="1"/>
    <xf numFmtId="166" fontId="0" fillId="7" borderId="1" xfId="0" applyNumberFormat="1" applyFill="1" applyBorder="1"/>
    <xf numFmtId="166" fontId="0" fillId="8" borderId="1" xfId="0" applyNumberFormat="1" applyFill="1" applyBorder="1"/>
    <xf numFmtId="0" fontId="1" fillId="0" borderId="0" xfId="0" applyFont="1" applyFill="1" applyBorder="1"/>
    <xf numFmtId="0" fontId="17" fillId="0" borderId="0" xfId="0" applyFont="1"/>
    <xf numFmtId="0" fontId="14" fillId="0" borderId="0" xfId="0" applyFont="1"/>
    <xf numFmtId="0" fontId="8" fillId="0" borderId="0" xfId="0" applyFont="1"/>
    <xf numFmtId="11" fontId="0" fillId="2" borderId="2" xfId="0" applyNumberFormat="1" applyFill="1" applyBorder="1"/>
    <xf numFmtId="11" fontId="0" fillId="2" borderId="1" xfId="0" applyNumberFormat="1" applyFill="1" applyBorder="1"/>
    <xf numFmtId="0" fontId="0" fillId="2" borderId="1" xfId="0" quotePrefix="1" applyFill="1" applyBorder="1"/>
    <xf numFmtId="4" fontId="0" fillId="4" borderId="2" xfId="0" applyNumberFormat="1" applyFill="1" applyBorder="1"/>
    <xf numFmtId="4" fontId="0" fillId="0" borderId="0" xfId="0" applyNumberFormat="1"/>
    <xf numFmtId="4" fontId="0" fillId="0" borderId="2" xfId="0" applyNumberFormat="1" applyFill="1" applyBorder="1"/>
    <xf numFmtId="11" fontId="0" fillId="4" borderId="2" xfId="0" applyNumberFormat="1" applyFill="1" applyBorder="1"/>
    <xf numFmtId="11" fontId="0" fillId="0" borderId="2" xfId="0" applyNumberFormat="1" applyFill="1" applyBorder="1"/>
    <xf numFmtId="0" fontId="1" fillId="10" borderId="4" xfId="0" applyFont="1" applyFill="1" applyBorder="1" applyAlignment="1">
      <alignment wrapText="1"/>
    </xf>
    <xf numFmtId="0" fontId="1" fillId="10" borderId="5" xfId="0" applyFont="1" applyFill="1" applyBorder="1" applyAlignment="1">
      <alignment wrapText="1"/>
    </xf>
    <xf numFmtId="0" fontId="1" fillId="10" borderId="6" xfId="0" applyFont="1" applyFill="1" applyBorder="1" applyAlignment="1">
      <alignment wrapText="1"/>
    </xf>
    <xf numFmtId="0" fontId="0" fillId="11" borderId="1" xfId="0" applyFill="1" applyBorder="1" applyAlignment="1">
      <alignment wrapText="1"/>
    </xf>
    <xf numFmtId="0" fontId="23" fillId="11" borderId="1" xfId="0" applyFont="1" applyFill="1" applyBorder="1" applyAlignment="1">
      <alignment wrapText="1"/>
    </xf>
    <xf numFmtId="4" fontId="23" fillId="11" borderId="1" xfId="0" applyNumberFormat="1" applyFont="1" applyFill="1" applyBorder="1" applyAlignment="1">
      <alignment wrapText="1"/>
    </xf>
    <xf numFmtId="0" fontId="0" fillId="0" borderId="0" xfId="0" applyAlignment="1">
      <alignment wrapText="1"/>
    </xf>
    <xf numFmtId="0" fontId="23" fillId="0" borderId="0" xfId="0" applyFont="1"/>
    <xf numFmtId="0" fontId="25" fillId="0" borderId="0" xfId="0" applyFont="1"/>
    <xf numFmtId="0" fontId="0" fillId="0" borderId="0" xfId="0" applyAlignment="1">
      <alignment horizontal="center"/>
    </xf>
    <xf numFmtId="11" fontId="0" fillId="0" borderId="0" xfId="0" applyNumberFormat="1"/>
    <xf numFmtId="3" fontId="0" fillId="0" borderId="0" xfId="0" applyNumberFormat="1"/>
    <xf numFmtId="11" fontId="27" fillId="0" borderId="0" xfId="0" applyNumberFormat="1" applyFont="1"/>
    <xf numFmtId="0" fontId="27" fillId="0" borderId="0" xfId="0" applyFont="1"/>
    <xf numFmtId="3" fontId="0" fillId="0" borderId="0" xfId="0" applyNumberFormat="1" applyAlignment="1">
      <alignment horizontal="center"/>
    </xf>
    <xf numFmtId="1" fontId="0" fillId="0" borderId="0" xfId="0" applyNumberFormat="1"/>
    <xf numFmtId="0" fontId="24" fillId="0" borderId="0" xfId="0" applyFont="1" applyAlignment="1">
      <alignment horizontal="center" wrapText="1"/>
    </xf>
    <xf numFmtId="0" fontId="23" fillId="0" borderId="0" xfId="0" applyFont="1" applyAlignment="1">
      <alignment horizontal="center" wrapText="1"/>
    </xf>
    <xf numFmtId="0" fontId="23" fillId="0" borderId="0" xfId="0" applyFont="1" applyAlignment="1">
      <alignment wrapText="1"/>
    </xf>
    <xf numFmtId="167" fontId="0" fillId="0" borderId="0" xfId="0" applyNumberFormat="1"/>
    <xf numFmtId="3" fontId="0" fillId="0" borderId="0" xfId="0" applyNumberFormat="1" applyAlignment="1">
      <alignment wrapText="1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39" fmlaLink="$C$2" fmlaRange="Data!$A$7:$A$36" noThreeD="1" sel="3" val="2"/>
</file>

<file path=xl/ctrlProps/ctrlProp2.xml><?xml version="1.0" encoding="utf-8"?>
<formControlPr xmlns="http://schemas.microsoft.com/office/spreadsheetml/2009/9/main" objectType="CheckBox" checked="Checked" fmlaLink="$C$1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4763</xdr:colOff>
          <xdr:row>0</xdr:row>
          <xdr:rowOff>300038</xdr:rowOff>
        </xdr:from>
        <xdr:to>
          <xdr:col>3</xdr:col>
          <xdr:colOff>100013</xdr:colOff>
          <xdr:row>1</xdr:row>
          <xdr:rowOff>157163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614363</xdr:colOff>
          <xdr:row>11</xdr:row>
          <xdr:rowOff>119063</xdr:rowOff>
        </xdr:from>
        <xdr:to>
          <xdr:col>4</xdr:col>
          <xdr:colOff>314325</xdr:colOff>
          <xdr:row>13</xdr:row>
          <xdr:rowOff>33338</xdr:rowOff>
        </xdr:to>
        <xdr:sp macro="" textlink="">
          <xdr:nvSpPr>
            <xdr:cNvPr id="1030" name="Check Box 6" descr="PROGRADE&#10;RETROGRADE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PROGRADE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14288</xdr:colOff>
      <xdr:row>0</xdr:row>
      <xdr:rowOff>0</xdr:rowOff>
    </xdr:from>
    <xdr:to>
      <xdr:col>13</xdr:col>
      <xdr:colOff>633413</xdr:colOff>
      <xdr:row>23</xdr:row>
      <xdr:rowOff>140494</xdr:rowOff>
    </xdr:to>
    <xdr:pic>
      <xdr:nvPicPr>
        <xdr:cNvPr id="59" name="Test">
          <a:extLst>
            <a:ext uri="{FF2B5EF4-FFF2-40B4-BE49-F238E27FC236}">
              <a16:creationId xmlns:a16="http://schemas.microsoft.com/office/drawing/2014/main" id="{BF79C5E4-521D-4FD6-BC5B-F7D105AFA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5726" y="0"/>
          <a:ext cx="5153025" cy="38647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6"/>
  <sheetViews>
    <sheetView zoomScale="85" zoomScaleNormal="85" workbookViewId="0">
      <selection activeCell="J6" sqref="J6"/>
    </sheetView>
  </sheetViews>
  <sheetFormatPr defaultRowHeight="12.75" x14ac:dyDescent="0.35"/>
  <cols>
    <col min="1" max="1" width="19" customWidth="1"/>
    <col min="2" max="2" width="10.3984375" bestFit="1" customWidth="1"/>
    <col min="3" max="3" width="9.86328125" customWidth="1"/>
    <col min="4" max="4" width="10.6640625" customWidth="1"/>
    <col min="5" max="5" width="9.73046875" customWidth="1"/>
    <col min="6" max="6" width="9.53125" customWidth="1"/>
    <col min="7" max="7" width="9.3984375" customWidth="1"/>
    <col min="8" max="8" width="8.86328125" customWidth="1"/>
    <col min="10" max="10" width="9.796875" style="50" customWidth="1"/>
    <col min="11" max="11" width="11.46484375" customWidth="1"/>
  </cols>
  <sheetData>
    <row r="1" spans="1:11" ht="15" x14ac:dyDescent="0.4">
      <c r="D1" s="8" t="s">
        <v>28</v>
      </c>
    </row>
    <row r="2" spans="1:11" x14ac:dyDescent="0.35">
      <c r="A2" s="5" t="s">
        <v>29</v>
      </c>
      <c r="B2">
        <v>6.6729999999999999E-11</v>
      </c>
      <c r="D2" t="s">
        <v>41</v>
      </c>
    </row>
    <row r="3" spans="1:11" ht="13.15" x14ac:dyDescent="0.4">
      <c r="A3" s="42" t="s">
        <v>27</v>
      </c>
      <c r="B3" s="29">
        <v>1.9889999999999999E+30</v>
      </c>
      <c r="C3" t="s">
        <v>47</v>
      </c>
      <c r="D3" t="s">
        <v>42</v>
      </c>
    </row>
    <row r="4" spans="1:11" ht="13.15" x14ac:dyDescent="0.4">
      <c r="A4" t="s">
        <v>30</v>
      </c>
      <c r="B4" s="7">
        <f>G*B3</f>
        <v>1.3272596999999999E+20</v>
      </c>
      <c r="D4" s="36" t="s">
        <v>39</v>
      </c>
    </row>
    <row r="5" spans="1:11" ht="13.15" thickBot="1" x14ac:dyDescent="0.4">
      <c r="D5" t="s">
        <v>40</v>
      </c>
    </row>
    <row r="6" spans="1:11" s="60" customFormat="1" ht="26.25" customHeight="1" thickBot="1" x14ac:dyDescent="0.45">
      <c r="A6" s="54" t="s">
        <v>24</v>
      </c>
      <c r="B6" s="55" t="s">
        <v>0</v>
      </c>
      <c r="C6" s="55" t="s">
        <v>1</v>
      </c>
      <c r="D6" s="56" t="s">
        <v>23</v>
      </c>
      <c r="E6" s="57" t="s">
        <v>25</v>
      </c>
      <c r="F6" s="57" t="s">
        <v>34</v>
      </c>
      <c r="G6" s="58" t="s">
        <v>59</v>
      </c>
      <c r="H6" s="57" t="s">
        <v>26</v>
      </c>
      <c r="I6" s="57" t="s">
        <v>2</v>
      </c>
      <c r="J6" s="59" t="s">
        <v>60</v>
      </c>
      <c r="K6" s="59" t="s">
        <v>61</v>
      </c>
    </row>
    <row r="7" spans="1:11" x14ac:dyDescent="0.35">
      <c r="A7" s="16" t="s">
        <v>48</v>
      </c>
      <c r="B7" s="33">
        <v>3.3000000000000003E+23</v>
      </c>
      <c r="C7" s="46">
        <v>2439700</v>
      </c>
      <c r="D7" s="30">
        <v>57910000000</v>
      </c>
      <c r="E7" s="12">
        <f t="shared" ref="E7:E36" si="0">2 * PI() / SQRT(GM_primary/D7^3)</f>
        <v>7600326.7164977752</v>
      </c>
      <c r="F7" s="21">
        <f t="shared" ref="F7:F36" si="1">E7/86400</f>
        <v>87.966744403909431</v>
      </c>
      <c r="G7" s="52">
        <f t="shared" ref="G7:G36" si="2">G*B7</f>
        <v>22020900000000</v>
      </c>
      <c r="H7" s="21">
        <f t="shared" ref="H7:H36" si="3">SQRT(GM_primary/D7)/1000</f>
        <v>47.874160507988783</v>
      </c>
      <c r="I7" s="13">
        <f t="shared" ref="I7:I36" si="4">(D7/1000)/H7</f>
        <v>1209629.5660440151</v>
      </c>
      <c r="J7" s="49">
        <f t="shared" ref="J7:J36" si="5">SQRT(2*G*B7/C7)</f>
        <v>4248.7807142633828</v>
      </c>
      <c r="K7" s="49">
        <f t="shared" ref="K7:K36" si="6">SQRT(G*B7/C7)</f>
        <v>3004.3416548302607</v>
      </c>
    </row>
    <row r="8" spans="1:11" x14ac:dyDescent="0.35">
      <c r="A8" s="15" t="s">
        <v>49</v>
      </c>
      <c r="B8" s="34">
        <v>4.8699999999999996E+24</v>
      </c>
      <c r="C8" s="29">
        <v>6051800</v>
      </c>
      <c r="D8" s="31">
        <v>108210000000</v>
      </c>
      <c r="E8" s="9">
        <f t="shared" si="0"/>
        <v>19413462.892132614</v>
      </c>
      <c r="F8" s="22">
        <f t="shared" si="1"/>
        <v>224.69285754783118</v>
      </c>
      <c r="G8" s="53">
        <f t="shared" si="2"/>
        <v>324975099999999.94</v>
      </c>
      <c r="H8" s="22">
        <f t="shared" si="3"/>
        <v>35.022267066296386</v>
      </c>
      <c r="I8" s="10">
        <f t="shared" si="4"/>
        <v>3089748.5818139883</v>
      </c>
      <c r="J8" s="51">
        <f t="shared" si="5"/>
        <v>10363.292529402448</v>
      </c>
      <c r="K8" s="51">
        <f t="shared" si="6"/>
        <v>7327.9544229603589</v>
      </c>
    </row>
    <row r="9" spans="1:11" x14ac:dyDescent="0.35">
      <c r="A9" s="16" t="s">
        <v>50</v>
      </c>
      <c r="B9" s="35">
        <v>5.9700000000000003E+24</v>
      </c>
      <c r="C9" s="47">
        <v>6371000</v>
      </c>
      <c r="D9" s="32">
        <v>149600000000</v>
      </c>
      <c r="E9" s="12">
        <f t="shared" si="0"/>
        <v>31557261.211305931</v>
      </c>
      <c r="F9" s="21">
        <f t="shared" si="1"/>
        <v>365.2460788345594</v>
      </c>
      <c r="G9" s="52">
        <f t="shared" si="2"/>
        <v>398378100000000</v>
      </c>
      <c r="H9" s="21">
        <f t="shared" si="3"/>
        <v>29.785998083297155</v>
      </c>
      <c r="I9" s="13">
        <f t="shared" si="4"/>
        <v>5022494.112221472</v>
      </c>
      <c r="J9" s="49">
        <f t="shared" si="5"/>
        <v>11183.015408247258</v>
      </c>
      <c r="K9" s="49">
        <f t="shared" si="6"/>
        <v>7907.5860292852831</v>
      </c>
    </row>
    <row r="10" spans="1:11" x14ac:dyDescent="0.35">
      <c r="A10" s="15" t="s">
        <v>51</v>
      </c>
      <c r="B10" s="34">
        <v>6.4200000000000005E+23</v>
      </c>
      <c r="C10" s="29">
        <v>3390000</v>
      </c>
      <c r="D10" s="31">
        <v>227920000000</v>
      </c>
      <c r="E10" s="9">
        <f t="shared" si="0"/>
        <v>59343829.567946926</v>
      </c>
      <c r="F10" s="22">
        <f t="shared" si="1"/>
        <v>686.84987925864493</v>
      </c>
      <c r="G10" s="53">
        <f t="shared" si="2"/>
        <v>42840660000000</v>
      </c>
      <c r="H10" s="22">
        <f t="shared" si="3"/>
        <v>24.131634335675976</v>
      </c>
      <c r="I10" s="10">
        <f t="shared" si="4"/>
        <v>9444863.8177417293</v>
      </c>
      <c r="J10" s="51">
        <f t="shared" si="5"/>
        <v>5027.3975040488704</v>
      </c>
      <c r="K10" s="51">
        <f t="shared" si="6"/>
        <v>3554.9068668332802</v>
      </c>
    </row>
    <row r="11" spans="1:11" x14ac:dyDescent="0.35">
      <c r="A11" s="16" t="s">
        <v>52</v>
      </c>
      <c r="B11" s="35">
        <v>8.7E+20</v>
      </c>
      <c r="C11" s="2">
        <v>473000</v>
      </c>
      <c r="D11" s="32">
        <v>413943200000</v>
      </c>
      <c r="E11" s="12">
        <f t="shared" si="0"/>
        <v>145248963.98052022</v>
      </c>
      <c r="F11" s="21">
        <f t="shared" si="1"/>
        <v>1681.1222682930581</v>
      </c>
      <c r="G11" s="52">
        <f t="shared" si="2"/>
        <v>58055100000</v>
      </c>
      <c r="H11" s="21">
        <f t="shared" si="3"/>
        <v>17.906370971401305</v>
      </c>
      <c r="I11" s="13">
        <f t="shared" si="4"/>
        <v>23117090.596476451</v>
      </c>
      <c r="J11" s="49">
        <f t="shared" si="5"/>
        <v>495.45545706609698</v>
      </c>
      <c r="K11" s="49">
        <f t="shared" si="6"/>
        <v>350.3399134673175</v>
      </c>
    </row>
    <row r="12" spans="1:11" x14ac:dyDescent="0.35">
      <c r="A12" s="15" t="s">
        <v>53</v>
      </c>
      <c r="B12" s="34">
        <v>1.899E+27</v>
      </c>
      <c r="C12" s="29">
        <v>69911000</v>
      </c>
      <c r="D12" s="31">
        <v>778570000000</v>
      </c>
      <c r="E12" s="9">
        <f t="shared" si="0"/>
        <v>374669561.85679704</v>
      </c>
      <c r="F12" s="22">
        <f t="shared" si="1"/>
        <v>4336.4532622314473</v>
      </c>
      <c r="G12" s="53">
        <f t="shared" si="2"/>
        <v>1.2672027E+17</v>
      </c>
      <c r="H12" s="22">
        <f t="shared" si="3"/>
        <v>13.0565705961472</v>
      </c>
      <c r="I12" s="10">
        <f t="shared" si="4"/>
        <v>59630512.795583889</v>
      </c>
      <c r="J12" s="51">
        <f t="shared" si="5"/>
        <v>60209.536710162196</v>
      </c>
      <c r="K12" s="51">
        <f t="shared" si="6"/>
        <v>42574.57169985606</v>
      </c>
    </row>
    <row r="13" spans="1:11" x14ac:dyDescent="0.35">
      <c r="A13" s="16" t="s">
        <v>54</v>
      </c>
      <c r="B13" s="35">
        <v>5.6800000000000001E+26</v>
      </c>
      <c r="C13" s="47">
        <v>58232000</v>
      </c>
      <c r="D13" s="32">
        <v>1433530000000</v>
      </c>
      <c r="E13" s="12">
        <f t="shared" si="0"/>
        <v>936078118.45226049</v>
      </c>
      <c r="F13" s="21">
        <f t="shared" si="1"/>
        <v>10834.237482086348</v>
      </c>
      <c r="G13" s="52">
        <f t="shared" si="2"/>
        <v>3.790264E+16</v>
      </c>
      <c r="H13" s="21">
        <f t="shared" si="3"/>
        <v>9.6222040189271993</v>
      </c>
      <c r="I13" s="13">
        <f t="shared" si="4"/>
        <v>148981459.67183799</v>
      </c>
      <c r="J13" s="49">
        <f t="shared" si="5"/>
        <v>36080.194904538672</v>
      </c>
      <c r="K13" s="49">
        <f t="shared" si="6"/>
        <v>25512.550483531617</v>
      </c>
    </row>
    <row r="14" spans="1:11" x14ac:dyDescent="0.35">
      <c r="A14" s="15" t="s">
        <v>55</v>
      </c>
      <c r="B14" s="34">
        <v>8.6800000000000001E+25</v>
      </c>
      <c r="C14" s="29">
        <v>25362000</v>
      </c>
      <c r="D14" s="31">
        <v>2872460000000</v>
      </c>
      <c r="E14" s="9">
        <f t="shared" si="0"/>
        <v>2655112326.2902923</v>
      </c>
      <c r="F14" s="22">
        <f t="shared" si="1"/>
        <v>30730.466739470976</v>
      </c>
      <c r="G14" s="53">
        <f t="shared" si="2"/>
        <v>5792164000000000</v>
      </c>
      <c r="H14" s="22">
        <f t="shared" si="3"/>
        <v>6.7975272792612573</v>
      </c>
      <c r="I14" s="10">
        <f t="shared" si="4"/>
        <v>422574251.19332123</v>
      </c>
      <c r="J14" s="51">
        <f t="shared" si="5"/>
        <v>21371.926588780825</v>
      </c>
      <c r="K14" s="51">
        <f t="shared" si="6"/>
        <v>15112.234217948002</v>
      </c>
    </row>
    <row r="15" spans="1:11" x14ac:dyDescent="0.35">
      <c r="A15" s="16" t="s">
        <v>56</v>
      </c>
      <c r="B15" s="35">
        <v>1.0200000000000001E+26</v>
      </c>
      <c r="C15" s="47">
        <v>24624000</v>
      </c>
      <c r="D15" s="32">
        <v>4495060000000</v>
      </c>
      <c r="E15" s="12">
        <f t="shared" si="0"/>
        <v>5197627528.7983723</v>
      </c>
      <c r="F15" s="21">
        <f t="shared" si="1"/>
        <v>60157.726027758938</v>
      </c>
      <c r="G15" s="52">
        <f t="shared" si="2"/>
        <v>6806460000000000</v>
      </c>
      <c r="H15" s="21">
        <f t="shared" si="3"/>
        <v>5.4338820529950853</v>
      </c>
      <c r="I15" s="13">
        <f t="shared" si="4"/>
        <v>827228113.55877352</v>
      </c>
      <c r="J15" s="49">
        <f t="shared" si="5"/>
        <v>23512.366618773078</v>
      </c>
      <c r="K15" s="49">
        <f t="shared" si="6"/>
        <v>16625.753877878658</v>
      </c>
    </row>
    <row r="16" spans="1:11" x14ac:dyDescent="0.35">
      <c r="A16" s="15" t="s">
        <v>57</v>
      </c>
      <c r="B16" s="34">
        <v>1.2499999999999999E+22</v>
      </c>
      <c r="C16" s="29">
        <v>1195000</v>
      </c>
      <c r="D16" s="31">
        <v>5869660000000</v>
      </c>
      <c r="E16" s="9">
        <f t="shared" si="0"/>
        <v>7755705909.1145802</v>
      </c>
      <c r="F16" s="22">
        <f t="shared" si="1"/>
        <v>89765.114688826157</v>
      </c>
      <c r="G16" s="53">
        <f t="shared" si="2"/>
        <v>834124999999.99988</v>
      </c>
      <c r="H16" s="22">
        <f t="shared" si="3"/>
        <v>4.7552294919792937</v>
      </c>
      <c r="I16" s="10">
        <f t="shared" si="4"/>
        <v>1234358932.6026075</v>
      </c>
      <c r="J16" s="51">
        <f t="shared" si="5"/>
        <v>1181.5350627901444</v>
      </c>
      <c r="K16" s="51">
        <f t="shared" si="6"/>
        <v>835.47145510858434</v>
      </c>
    </row>
    <row r="17" spans="1:11" x14ac:dyDescent="0.35">
      <c r="A17" s="16" t="s">
        <v>3</v>
      </c>
      <c r="B17" s="35">
        <v>0</v>
      </c>
      <c r="C17" s="48" t="s">
        <v>58</v>
      </c>
      <c r="D17" s="32">
        <v>0</v>
      </c>
      <c r="E17" s="12" t="e">
        <f t="shared" si="0"/>
        <v>#DIV/0!</v>
      </c>
      <c r="F17" s="21" t="e">
        <f t="shared" si="1"/>
        <v>#DIV/0!</v>
      </c>
      <c r="G17" s="52">
        <f t="shared" si="2"/>
        <v>0</v>
      </c>
      <c r="H17" s="21" t="e">
        <f t="shared" si="3"/>
        <v>#DIV/0!</v>
      </c>
      <c r="I17" s="13" t="e">
        <f t="shared" si="4"/>
        <v>#DIV/0!</v>
      </c>
      <c r="J17" s="49" t="e">
        <f t="shared" si="5"/>
        <v>#VALUE!</v>
      </c>
      <c r="K17" s="49" t="e">
        <f t="shared" si="6"/>
        <v>#VALUE!</v>
      </c>
    </row>
    <row r="18" spans="1:11" x14ac:dyDescent="0.35">
      <c r="A18" s="15" t="s">
        <v>4</v>
      </c>
      <c r="B18" s="34">
        <v>0</v>
      </c>
      <c r="C18" s="3">
        <v>0</v>
      </c>
      <c r="D18" s="31">
        <v>0</v>
      </c>
      <c r="E18" s="9" t="e">
        <f t="shared" si="0"/>
        <v>#DIV/0!</v>
      </c>
      <c r="F18" s="22" t="e">
        <f t="shared" si="1"/>
        <v>#DIV/0!</v>
      </c>
      <c r="G18" s="53">
        <f t="shared" si="2"/>
        <v>0</v>
      </c>
      <c r="H18" s="22" t="e">
        <f t="shared" si="3"/>
        <v>#DIV/0!</v>
      </c>
      <c r="I18" s="10" t="e">
        <f t="shared" si="4"/>
        <v>#DIV/0!</v>
      </c>
      <c r="J18" s="51" t="e">
        <f t="shared" si="5"/>
        <v>#DIV/0!</v>
      </c>
      <c r="K18" s="51" t="e">
        <f t="shared" si="6"/>
        <v>#DIV/0!</v>
      </c>
    </row>
    <row r="19" spans="1:11" x14ac:dyDescent="0.35">
      <c r="A19" s="16" t="s">
        <v>5</v>
      </c>
      <c r="B19" s="35">
        <v>0</v>
      </c>
      <c r="C19" s="2">
        <v>0</v>
      </c>
      <c r="D19" s="32">
        <v>0</v>
      </c>
      <c r="E19" s="12" t="e">
        <f t="shared" si="0"/>
        <v>#DIV/0!</v>
      </c>
      <c r="F19" s="21" t="e">
        <f t="shared" si="1"/>
        <v>#DIV/0!</v>
      </c>
      <c r="G19" s="52">
        <f t="shared" si="2"/>
        <v>0</v>
      </c>
      <c r="H19" s="21" t="e">
        <f t="shared" si="3"/>
        <v>#DIV/0!</v>
      </c>
      <c r="I19" s="13" t="e">
        <f t="shared" si="4"/>
        <v>#DIV/0!</v>
      </c>
      <c r="J19" s="49" t="e">
        <f t="shared" si="5"/>
        <v>#DIV/0!</v>
      </c>
      <c r="K19" s="49" t="e">
        <f t="shared" si="6"/>
        <v>#DIV/0!</v>
      </c>
    </row>
    <row r="20" spans="1:11" x14ac:dyDescent="0.35">
      <c r="A20" s="15" t="s">
        <v>6</v>
      </c>
      <c r="B20" s="34">
        <v>0</v>
      </c>
      <c r="C20" s="3">
        <v>0</v>
      </c>
      <c r="D20" s="31">
        <v>0</v>
      </c>
      <c r="E20" s="9" t="e">
        <f t="shared" si="0"/>
        <v>#DIV/0!</v>
      </c>
      <c r="F20" s="22" t="e">
        <f t="shared" si="1"/>
        <v>#DIV/0!</v>
      </c>
      <c r="G20" s="53">
        <f t="shared" si="2"/>
        <v>0</v>
      </c>
      <c r="H20" s="22" t="e">
        <f t="shared" si="3"/>
        <v>#DIV/0!</v>
      </c>
      <c r="I20" s="10" t="e">
        <f t="shared" si="4"/>
        <v>#DIV/0!</v>
      </c>
      <c r="J20" s="51" t="e">
        <f t="shared" si="5"/>
        <v>#DIV/0!</v>
      </c>
      <c r="K20" s="51" t="e">
        <f t="shared" si="6"/>
        <v>#DIV/0!</v>
      </c>
    </row>
    <row r="21" spans="1:11" x14ac:dyDescent="0.35">
      <c r="A21" s="16" t="s">
        <v>7</v>
      </c>
      <c r="B21" s="35">
        <v>0</v>
      </c>
      <c r="C21" s="2">
        <v>0</v>
      </c>
      <c r="D21" s="32">
        <v>0</v>
      </c>
      <c r="E21" s="12" t="e">
        <f t="shared" si="0"/>
        <v>#DIV/0!</v>
      </c>
      <c r="F21" s="21" t="e">
        <f t="shared" si="1"/>
        <v>#DIV/0!</v>
      </c>
      <c r="G21" s="52">
        <f t="shared" si="2"/>
        <v>0</v>
      </c>
      <c r="H21" s="21" t="e">
        <f t="shared" si="3"/>
        <v>#DIV/0!</v>
      </c>
      <c r="I21" s="13" t="e">
        <f t="shared" si="4"/>
        <v>#DIV/0!</v>
      </c>
      <c r="J21" s="49" t="e">
        <f t="shared" si="5"/>
        <v>#DIV/0!</v>
      </c>
      <c r="K21" s="49" t="e">
        <f t="shared" si="6"/>
        <v>#DIV/0!</v>
      </c>
    </row>
    <row r="22" spans="1:11" x14ac:dyDescent="0.35">
      <c r="A22" s="15" t="s">
        <v>8</v>
      </c>
      <c r="B22" s="34">
        <v>0</v>
      </c>
      <c r="C22" s="3">
        <v>0</v>
      </c>
      <c r="D22" s="31">
        <v>0</v>
      </c>
      <c r="E22" s="9" t="e">
        <f t="shared" si="0"/>
        <v>#DIV/0!</v>
      </c>
      <c r="F22" s="22" t="e">
        <f t="shared" si="1"/>
        <v>#DIV/0!</v>
      </c>
      <c r="G22" s="53">
        <f t="shared" si="2"/>
        <v>0</v>
      </c>
      <c r="H22" s="22" t="e">
        <f t="shared" si="3"/>
        <v>#DIV/0!</v>
      </c>
      <c r="I22" s="10" t="e">
        <f t="shared" si="4"/>
        <v>#DIV/0!</v>
      </c>
      <c r="J22" s="51" t="e">
        <f t="shared" si="5"/>
        <v>#DIV/0!</v>
      </c>
      <c r="K22" s="51" t="e">
        <f t="shared" si="6"/>
        <v>#DIV/0!</v>
      </c>
    </row>
    <row r="23" spans="1:11" x14ac:dyDescent="0.35">
      <c r="A23" s="16" t="s">
        <v>9</v>
      </c>
      <c r="B23" s="35">
        <v>0</v>
      </c>
      <c r="C23" s="2">
        <v>0</v>
      </c>
      <c r="D23" s="32">
        <v>0</v>
      </c>
      <c r="E23" s="12" t="e">
        <f t="shared" si="0"/>
        <v>#DIV/0!</v>
      </c>
      <c r="F23" s="21" t="e">
        <f t="shared" si="1"/>
        <v>#DIV/0!</v>
      </c>
      <c r="G23" s="52">
        <f t="shared" si="2"/>
        <v>0</v>
      </c>
      <c r="H23" s="21" t="e">
        <f t="shared" si="3"/>
        <v>#DIV/0!</v>
      </c>
      <c r="I23" s="13" t="e">
        <f t="shared" si="4"/>
        <v>#DIV/0!</v>
      </c>
      <c r="J23" s="49" t="e">
        <f t="shared" si="5"/>
        <v>#DIV/0!</v>
      </c>
      <c r="K23" s="49" t="e">
        <f t="shared" si="6"/>
        <v>#DIV/0!</v>
      </c>
    </row>
    <row r="24" spans="1:11" x14ac:dyDescent="0.35">
      <c r="A24" s="15" t="s">
        <v>10</v>
      </c>
      <c r="B24" s="34">
        <v>0</v>
      </c>
      <c r="C24" s="3">
        <v>0</v>
      </c>
      <c r="D24" s="31">
        <v>0</v>
      </c>
      <c r="E24" s="9" t="e">
        <f t="shared" si="0"/>
        <v>#DIV/0!</v>
      </c>
      <c r="F24" s="22" t="e">
        <f t="shared" si="1"/>
        <v>#DIV/0!</v>
      </c>
      <c r="G24" s="53">
        <f t="shared" si="2"/>
        <v>0</v>
      </c>
      <c r="H24" s="22" t="e">
        <f t="shared" si="3"/>
        <v>#DIV/0!</v>
      </c>
      <c r="I24" s="10" t="e">
        <f t="shared" si="4"/>
        <v>#DIV/0!</v>
      </c>
      <c r="J24" s="51" t="e">
        <f t="shared" si="5"/>
        <v>#DIV/0!</v>
      </c>
      <c r="K24" s="51" t="e">
        <f t="shared" si="6"/>
        <v>#DIV/0!</v>
      </c>
    </row>
    <row r="25" spans="1:11" x14ac:dyDescent="0.35">
      <c r="A25" s="16" t="s">
        <v>11</v>
      </c>
      <c r="B25" s="35">
        <v>0</v>
      </c>
      <c r="C25" s="2">
        <v>0</v>
      </c>
      <c r="D25" s="32">
        <v>0</v>
      </c>
      <c r="E25" s="12" t="e">
        <f t="shared" si="0"/>
        <v>#DIV/0!</v>
      </c>
      <c r="F25" s="21" t="e">
        <f t="shared" si="1"/>
        <v>#DIV/0!</v>
      </c>
      <c r="G25" s="52">
        <f t="shared" si="2"/>
        <v>0</v>
      </c>
      <c r="H25" s="21" t="e">
        <f t="shared" si="3"/>
        <v>#DIV/0!</v>
      </c>
      <c r="I25" s="13" t="e">
        <f t="shared" si="4"/>
        <v>#DIV/0!</v>
      </c>
      <c r="J25" s="49" t="e">
        <f t="shared" si="5"/>
        <v>#DIV/0!</v>
      </c>
      <c r="K25" s="49" t="e">
        <f t="shared" si="6"/>
        <v>#DIV/0!</v>
      </c>
    </row>
    <row r="26" spans="1:11" x14ac:dyDescent="0.35">
      <c r="A26" s="15" t="s">
        <v>12</v>
      </c>
      <c r="B26" s="34">
        <v>0</v>
      </c>
      <c r="C26" s="3">
        <v>0</v>
      </c>
      <c r="D26" s="31">
        <v>0</v>
      </c>
      <c r="E26" s="9" t="e">
        <f t="shared" si="0"/>
        <v>#DIV/0!</v>
      </c>
      <c r="F26" s="22" t="e">
        <f t="shared" si="1"/>
        <v>#DIV/0!</v>
      </c>
      <c r="G26" s="53">
        <f t="shared" si="2"/>
        <v>0</v>
      </c>
      <c r="H26" s="22" t="e">
        <f t="shared" si="3"/>
        <v>#DIV/0!</v>
      </c>
      <c r="I26" s="10" t="e">
        <f t="shared" si="4"/>
        <v>#DIV/0!</v>
      </c>
      <c r="J26" s="51" t="e">
        <f t="shared" si="5"/>
        <v>#DIV/0!</v>
      </c>
      <c r="K26" s="51" t="e">
        <f t="shared" si="6"/>
        <v>#DIV/0!</v>
      </c>
    </row>
    <row r="27" spans="1:11" x14ac:dyDescent="0.35">
      <c r="A27" s="16" t="s">
        <v>13</v>
      </c>
      <c r="B27" s="35">
        <v>0</v>
      </c>
      <c r="C27" s="2">
        <v>0</v>
      </c>
      <c r="D27" s="32">
        <v>0</v>
      </c>
      <c r="E27" s="12" t="e">
        <f t="shared" si="0"/>
        <v>#DIV/0!</v>
      </c>
      <c r="F27" s="21" t="e">
        <f t="shared" si="1"/>
        <v>#DIV/0!</v>
      </c>
      <c r="G27" s="52">
        <f t="shared" si="2"/>
        <v>0</v>
      </c>
      <c r="H27" s="21" t="e">
        <f t="shared" si="3"/>
        <v>#DIV/0!</v>
      </c>
      <c r="I27" s="13" t="e">
        <f t="shared" si="4"/>
        <v>#DIV/0!</v>
      </c>
      <c r="J27" s="49" t="e">
        <f t="shared" si="5"/>
        <v>#DIV/0!</v>
      </c>
      <c r="K27" s="49" t="e">
        <f t="shared" si="6"/>
        <v>#DIV/0!</v>
      </c>
    </row>
    <row r="28" spans="1:11" x14ac:dyDescent="0.35">
      <c r="A28" s="15" t="s">
        <v>14</v>
      </c>
      <c r="B28" s="34">
        <v>0</v>
      </c>
      <c r="C28" s="3">
        <v>0</v>
      </c>
      <c r="D28" s="31">
        <v>0</v>
      </c>
      <c r="E28" s="9" t="e">
        <f t="shared" si="0"/>
        <v>#DIV/0!</v>
      </c>
      <c r="F28" s="22" t="e">
        <f t="shared" si="1"/>
        <v>#DIV/0!</v>
      </c>
      <c r="G28" s="53">
        <f t="shared" si="2"/>
        <v>0</v>
      </c>
      <c r="H28" s="22" t="e">
        <f t="shared" si="3"/>
        <v>#DIV/0!</v>
      </c>
      <c r="I28" s="10" t="e">
        <f t="shared" si="4"/>
        <v>#DIV/0!</v>
      </c>
      <c r="J28" s="51" t="e">
        <f t="shared" si="5"/>
        <v>#DIV/0!</v>
      </c>
      <c r="K28" s="51" t="e">
        <f t="shared" si="6"/>
        <v>#DIV/0!</v>
      </c>
    </row>
    <row r="29" spans="1:11" x14ac:dyDescent="0.35">
      <c r="A29" s="16" t="s">
        <v>15</v>
      </c>
      <c r="B29" s="35">
        <v>0</v>
      </c>
      <c r="C29" s="2">
        <v>0</v>
      </c>
      <c r="D29" s="32">
        <v>0</v>
      </c>
      <c r="E29" s="12" t="e">
        <f t="shared" si="0"/>
        <v>#DIV/0!</v>
      </c>
      <c r="F29" s="21" t="e">
        <f t="shared" si="1"/>
        <v>#DIV/0!</v>
      </c>
      <c r="G29" s="52">
        <f t="shared" si="2"/>
        <v>0</v>
      </c>
      <c r="H29" s="21" t="e">
        <f t="shared" si="3"/>
        <v>#DIV/0!</v>
      </c>
      <c r="I29" s="13" t="e">
        <f t="shared" si="4"/>
        <v>#DIV/0!</v>
      </c>
      <c r="J29" s="49" t="e">
        <f t="shared" si="5"/>
        <v>#DIV/0!</v>
      </c>
      <c r="K29" s="49" t="e">
        <f t="shared" si="6"/>
        <v>#DIV/0!</v>
      </c>
    </row>
    <row r="30" spans="1:11" x14ac:dyDescent="0.35">
      <c r="A30" s="15" t="s">
        <v>16</v>
      </c>
      <c r="B30" s="34">
        <v>0</v>
      </c>
      <c r="C30" s="3">
        <v>0</v>
      </c>
      <c r="D30" s="31">
        <v>0</v>
      </c>
      <c r="E30" s="9" t="e">
        <f t="shared" si="0"/>
        <v>#DIV/0!</v>
      </c>
      <c r="F30" s="22" t="e">
        <f t="shared" si="1"/>
        <v>#DIV/0!</v>
      </c>
      <c r="G30" s="53">
        <f t="shared" si="2"/>
        <v>0</v>
      </c>
      <c r="H30" s="22" t="e">
        <f t="shared" si="3"/>
        <v>#DIV/0!</v>
      </c>
      <c r="I30" s="10" t="e">
        <f t="shared" si="4"/>
        <v>#DIV/0!</v>
      </c>
      <c r="J30" s="51" t="e">
        <f t="shared" si="5"/>
        <v>#DIV/0!</v>
      </c>
      <c r="K30" s="51" t="e">
        <f t="shared" si="6"/>
        <v>#DIV/0!</v>
      </c>
    </row>
    <row r="31" spans="1:11" x14ac:dyDescent="0.35">
      <c r="A31" s="16" t="s">
        <v>17</v>
      </c>
      <c r="B31" s="35">
        <v>0</v>
      </c>
      <c r="C31" s="2">
        <v>0</v>
      </c>
      <c r="D31" s="32">
        <v>0</v>
      </c>
      <c r="E31" s="12" t="e">
        <f t="shared" si="0"/>
        <v>#DIV/0!</v>
      </c>
      <c r="F31" s="21" t="e">
        <f t="shared" si="1"/>
        <v>#DIV/0!</v>
      </c>
      <c r="G31" s="52">
        <f t="shared" si="2"/>
        <v>0</v>
      </c>
      <c r="H31" s="21" t="e">
        <f t="shared" si="3"/>
        <v>#DIV/0!</v>
      </c>
      <c r="I31" s="13" t="e">
        <f t="shared" si="4"/>
        <v>#DIV/0!</v>
      </c>
      <c r="J31" s="49" t="e">
        <f t="shared" si="5"/>
        <v>#DIV/0!</v>
      </c>
      <c r="K31" s="49" t="e">
        <f t="shared" si="6"/>
        <v>#DIV/0!</v>
      </c>
    </row>
    <row r="32" spans="1:11" x14ac:dyDescent="0.35">
      <c r="A32" s="15" t="s">
        <v>18</v>
      </c>
      <c r="B32" s="34">
        <v>0</v>
      </c>
      <c r="C32" s="3">
        <v>0</v>
      </c>
      <c r="D32" s="31">
        <v>0</v>
      </c>
      <c r="E32" s="9" t="e">
        <f t="shared" si="0"/>
        <v>#DIV/0!</v>
      </c>
      <c r="F32" s="22" t="e">
        <f t="shared" si="1"/>
        <v>#DIV/0!</v>
      </c>
      <c r="G32" s="53">
        <f t="shared" si="2"/>
        <v>0</v>
      </c>
      <c r="H32" s="22" t="e">
        <f t="shared" si="3"/>
        <v>#DIV/0!</v>
      </c>
      <c r="I32" s="10" t="e">
        <f t="shared" si="4"/>
        <v>#DIV/0!</v>
      </c>
      <c r="J32" s="51" t="e">
        <f t="shared" si="5"/>
        <v>#DIV/0!</v>
      </c>
      <c r="K32" s="51" t="e">
        <f t="shared" si="6"/>
        <v>#DIV/0!</v>
      </c>
    </row>
    <row r="33" spans="1:12" x14ac:dyDescent="0.35">
      <c r="A33" s="16" t="s">
        <v>19</v>
      </c>
      <c r="B33" s="35">
        <v>0</v>
      </c>
      <c r="C33" s="2">
        <v>0</v>
      </c>
      <c r="D33" s="32">
        <v>0</v>
      </c>
      <c r="E33" s="12" t="e">
        <f t="shared" si="0"/>
        <v>#DIV/0!</v>
      </c>
      <c r="F33" s="21" t="e">
        <f t="shared" si="1"/>
        <v>#DIV/0!</v>
      </c>
      <c r="G33" s="52">
        <f t="shared" si="2"/>
        <v>0</v>
      </c>
      <c r="H33" s="21" t="e">
        <f t="shared" si="3"/>
        <v>#DIV/0!</v>
      </c>
      <c r="I33" s="13" t="e">
        <f t="shared" si="4"/>
        <v>#DIV/0!</v>
      </c>
      <c r="J33" s="49" t="e">
        <f t="shared" si="5"/>
        <v>#DIV/0!</v>
      </c>
      <c r="K33" s="49" t="e">
        <f t="shared" si="6"/>
        <v>#DIV/0!</v>
      </c>
    </row>
    <row r="34" spans="1:12" x14ac:dyDescent="0.35">
      <c r="A34" s="15" t="s">
        <v>20</v>
      </c>
      <c r="B34" s="34">
        <v>0</v>
      </c>
      <c r="C34" s="3">
        <v>0</v>
      </c>
      <c r="D34" s="31">
        <v>0</v>
      </c>
      <c r="E34" s="9" t="e">
        <f t="shared" si="0"/>
        <v>#DIV/0!</v>
      </c>
      <c r="F34" s="22" t="e">
        <f t="shared" si="1"/>
        <v>#DIV/0!</v>
      </c>
      <c r="G34" s="53">
        <f t="shared" si="2"/>
        <v>0</v>
      </c>
      <c r="H34" s="22" t="e">
        <f t="shared" si="3"/>
        <v>#DIV/0!</v>
      </c>
      <c r="I34" s="11" t="e">
        <f t="shared" si="4"/>
        <v>#DIV/0!</v>
      </c>
      <c r="J34" s="51" t="e">
        <f t="shared" si="5"/>
        <v>#DIV/0!</v>
      </c>
      <c r="K34" s="51" t="e">
        <f t="shared" si="6"/>
        <v>#DIV/0!</v>
      </c>
    </row>
    <row r="35" spans="1:12" x14ac:dyDescent="0.35">
      <c r="A35" s="16" t="s">
        <v>22</v>
      </c>
      <c r="B35" s="35">
        <v>0</v>
      </c>
      <c r="C35" s="2">
        <v>0</v>
      </c>
      <c r="D35" s="32">
        <v>0</v>
      </c>
      <c r="E35" s="12" t="e">
        <f t="shared" si="0"/>
        <v>#DIV/0!</v>
      </c>
      <c r="F35" s="21" t="e">
        <f t="shared" si="1"/>
        <v>#DIV/0!</v>
      </c>
      <c r="G35" s="52">
        <f t="shared" si="2"/>
        <v>0</v>
      </c>
      <c r="H35" s="21" t="e">
        <f t="shared" si="3"/>
        <v>#DIV/0!</v>
      </c>
      <c r="I35" s="14" t="e">
        <f t="shared" si="4"/>
        <v>#DIV/0!</v>
      </c>
      <c r="J35" s="49" t="e">
        <f t="shared" si="5"/>
        <v>#DIV/0!</v>
      </c>
      <c r="K35" s="49" t="e">
        <f t="shared" si="6"/>
        <v>#DIV/0!</v>
      </c>
    </row>
    <row r="36" spans="1:12" x14ac:dyDescent="0.35">
      <c r="A36" s="15" t="s">
        <v>21</v>
      </c>
      <c r="B36" s="34">
        <v>0</v>
      </c>
      <c r="C36" s="3">
        <v>0</v>
      </c>
      <c r="D36" s="31">
        <v>0</v>
      </c>
      <c r="E36" s="9" t="e">
        <f t="shared" si="0"/>
        <v>#DIV/0!</v>
      </c>
      <c r="F36" s="22" t="e">
        <f t="shared" si="1"/>
        <v>#DIV/0!</v>
      </c>
      <c r="G36" s="53">
        <f t="shared" si="2"/>
        <v>0</v>
      </c>
      <c r="H36" s="22" t="e">
        <f t="shared" si="3"/>
        <v>#DIV/0!</v>
      </c>
      <c r="I36" s="10" t="e">
        <f t="shared" si="4"/>
        <v>#DIV/0!</v>
      </c>
      <c r="J36" s="51" t="e">
        <f t="shared" si="5"/>
        <v>#DIV/0!</v>
      </c>
      <c r="K36" s="51" t="e">
        <f t="shared" si="6"/>
        <v>#DIV/0!</v>
      </c>
      <c r="L36" s="6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1"/>
  <sheetViews>
    <sheetView workbookViewId="0">
      <selection activeCell="D7" sqref="D7"/>
    </sheetView>
  </sheetViews>
  <sheetFormatPr defaultRowHeight="12.75" x14ac:dyDescent="0.35"/>
  <cols>
    <col min="1" max="1" width="14.3984375" customWidth="1"/>
    <col min="6" max="6" width="11.59765625" customWidth="1"/>
  </cols>
  <sheetData>
    <row r="1" spans="1:32" ht="15" x14ac:dyDescent="0.4">
      <c r="B1" s="8" t="s">
        <v>35</v>
      </c>
    </row>
    <row r="3" spans="1:32" x14ac:dyDescent="0.35">
      <c r="B3" s="5" t="str">
        <f>Data!A7</f>
        <v>Mercury</v>
      </c>
      <c r="C3" s="5" t="str">
        <f>Data!A8</f>
        <v>Venus</v>
      </c>
      <c r="D3" s="5" t="str">
        <f>Data!A9</f>
        <v>Earth</v>
      </c>
      <c r="E3" s="5" t="str">
        <f>Data!A10</f>
        <v>Mars</v>
      </c>
      <c r="F3" s="5" t="str">
        <f>Data!A11</f>
        <v>Ceres</v>
      </c>
      <c r="G3" s="5" t="str">
        <f>Data!A12</f>
        <v>Jupiter</v>
      </c>
      <c r="H3" s="5" t="str">
        <f>Data!A13</f>
        <v>Saturn</v>
      </c>
      <c r="I3" s="5" t="str">
        <f>Data!A14</f>
        <v>Uranus</v>
      </c>
      <c r="J3" s="5" t="str">
        <f>Data!A15</f>
        <v>Neptune</v>
      </c>
      <c r="K3" s="5" t="str">
        <f>Data!A16</f>
        <v>Pluto</v>
      </c>
      <c r="L3" s="5" t="str">
        <f>Data!A17</f>
        <v>S11</v>
      </c>
      <c r="M3" s="5" t="str">
        <f>Data!A18</f>
        <v>S12</v>
      </c>
      <c r="N3" s="5" t="str">
        <f>Data!A19</f>
        <v>S13</v>
      </c>
      <c r="O3" s="5" t="str">
        <f>Data!A20</f>
        <v>S14</v>
      </c>
      <c r="P3" s="5" t="str">
        <f>Data!A21</f>
        <v>S15</v>
      </c>
      <c r="Q3" s="5" t="str">
        <f>Data!A22</f>
        <v>S16</v>
      </c>
      <c r="R3" s="5" t="str">
        <f>Data!A23</f>
        <v>S17</v>
      </c>
      <c r="S3" s="5" t="str">
        <f>Data!A24</f>
        <v>S18</v>
      </c>
      <c r="T3" s="5" t="str">
        <f>Data!A25</f>
        <v>S19</v>
      </c>
      <c r="U3" s="5" t="str">
        <f>Data!A26</f>
        <v>S20</v>
      </c>
      <c r="V3" s="5" t="str">
        <f>Data!A27</f>
        <v>S21</v>
      </c>
      <c r="W3" s="5" t="str">
        <f>Data!A28</f>
        <v>S22</v>
      </c>
      <c r="X3" s="5" t="str">
        <f>Data!A29</f>
        <v>S23</v>
      </c>
      <c r="Y3" s="5" t="str">
        <f>Data!A30</f>
        <v>S24</v>
      </c>
      <c r="Z3" s="5" t="str">
        <f>Data!A31</f>
        <v>S25</v>
      </c>
      <c r="AA3" s="5" t="str">
        <f>Data!A32</f>
        <v>S26</v>
      </c>
      <c r="AB3" s="5" t="str">
        <f>Data!A33</f>
        <v>S27</v>
      </c>
      <c r="AC3" s="5" t="str">
        <f>Data!A34</f>
        <v>S28</v>
      </c>
      <c r="AD3" s="5" t="str">
        <f>Data!A35</f>
        <v>S29</v>
      </c>
      <c r="AE3" s="5" t="str">
        <f>Data!A36</f>
        <v>S30</v>
      </c>
    </row>
    <row r="4" spans="1:32" x14ac:dyDescent="0.35">
      <c r="A4" s="20" t="str">
        <f>Data!A7</f>
        <v>Mercury</v>
      </c>
      <c r="B4" s="37">
        <f>(SQRT(G*Data!$B7/Data!$C7))/1000</f>
        <v>3.0043416548302608</v>
      </c>
      <c r="C4" s="38">
        <f ca="1">B5+orbit01+orbit02</f>
        <v>19.858014439473859</v>
      </c>
      <c r="D4" s="38">
        <f ca="1">B6+orbit01+orbit03</f>
        <v>23.992728392432777</v>
      </c>
      <c r="E4" s="38">
        <f ca="1">B7+orbit01+orbit04</f>
        <v>23.390904161384682</v>
      </c>
      <c r="F4" s="38">
        <f ca="1">B8+orbit01+orbit05</f>
        <v>25.158386112933609</v>
      </c>
      <c r="G4" s="38">
        <f ca="1">B9+orbit01+orbit06</f>
        <v>78.719563113467316</v>
      </c>
      <c r="H4" s="38">
        <f ca="1">B10+orbit01+orbit07</f>
        <v>55.72598679608538</v>
      </c>
      <c r="I4" s="38">
        <f ca="1">B11+orbit01+orbit08</f>
        <v>41.678213139101061</v>
      </c>
      <c r="J4" s="38">
        <f ca="1">B12+orbit01+orbit09</f>
        <v>43.809875060915701</v>
      </c>
      <c r="K4" s="38">
        <f ca="1">B13+orbit01+orbit10</f>
        <v>24.213887087527908</v>
      </c>
      <c r="L4" s="38" t="e">
        <f ca="1">B14+orbit01+orbit11</f>
        <v>#DIV/0!</v>
      </c>
      <c r="M4" s="38" t="e">
        <f ca="1">B15+orbit01+orbit12</f>
        <v>#DIV/0!</v>
      </c>
      <c r="N4" s="38" t="e">
        <f ca="1">B16+orbit01+orbit13</f>
        <v>#DIV/0!</v>
      </c>
      <c r="O4" s="38" t="e">
        <f ca="1">B17+orbit01+orbit14</f>
        <v>#DIV/0!</v>
      </c>
      <c r="P4" s="38" t="e">
        <f ca="1">B18+orbit01+orbit15</f>
        <v>#DIV/0!</v>
      </c>
      <c r="Q4" s="38" t="e">
        <f ca="1">B19+orbit01+orbit16</f>
        <v>#DIV/0!</v>
      </c>
      <c r="R4" s="38" t="e">
        <f ca="1">B20+orbit01+orbit17</f>
        <v>#DIV/0!</v>
      </c>
      <c r="S4" s="38" t="e">
        <f ca="1">B21+orbit01+orbit18</f>
        <v>#DIV/0!</v>
      </c>
      <c r="T4" s="38" t="e">
        <f ca="1">B22+orbit01+orbit19</f>
        <v>#DIV/0!</v>
      </c>
      <c r="U4" s="38" t="e">
        <f ca="1">B23+orbit01+orbit20</f>
        <v>#DIV/0!</v>
      </c>
      <c r="V4" s="38" t="e">
        <f ca="1">B24+orbit01+orbit21</f>
        <v>#DIV/0!</v>
      </c>
      <c r="W4" s="38" t="e">
        <f ca="1">B25+orbit01+orbit22</f>
        <v>#DIV/0!</v>
      </c>
      <c r="X4" s="38" t="e">
        <f ca="1">B26+orbit01+orbit23</f>
        <v>#DIV/0!</v>
      </c>
      <c r="Y4" s="38" t="e">
        <f ca="1">B27+orbit01+orbit24</f>
        <v>#DIV/0!</v>
      </c>
      <c r="Z4" s="38" t="e">
        <f ca="1">B28+orbit01+orbit25</f>
        <v>#DIV/0!</v>
      </c>
      <c r="AA4" s="38" t="e">
        <f ca="1">B29+orbit01+orbit26</f>
        <v>#DIV/0!</v>
      </c>
      <c r="AB4" s="38" t="e">
        <f ca="1">B30+orbit01+orbit27</f>
        <v>#DIV/0!</v>
      </c>
      <c r="AC4" s="38" t="e">
        <f ca="1">B31+orbit01+orbit28</f>
        <v>#DIV/0!</v>
      </c>
      <c r="AD4" s="38" t="e">
        <f ca="1">B32+orbit01+orbit29</f>
        <v>#DIV/0!</v>
      </c>
      <c r="AE4" s="38" t="e">
        <f ca="1">B33+orbit01+orbit30</f>
        <v>#DIV/0!</v>
      </c>
      <c r="AF4" s="18" t="str">
        <f>Data!A7</f>
        <v>Mercury</v>
      </c>
    </row>
    <row r="5" spans="1:32" x14ac:dyDescent="0.35">
      <c r="A5" s="5" t="str">
        <f>Data!A8</f>
        <v>Venus</v>
      </c>
      <c r="B5" s="41">
        <f ca="1">(
SQRT((SQRT(GM_primary/OFFSET(Data!$D$7,COLUMN(B5)-2,0))*(SQRT(2*Data!$D8/(OFFSET(Data!$D$7,COLUMN(B5)-2,0)+Data!$D8))-1))^2+OFFSET(Data!$J$7,COLUMN(B5)-2,0)^2)-OFFSET(Data!$K$7,COLUMN(B5)-2,0)
+
SQRT((SQRT(GM_primary/Data!$D8)*(1-SQRT(2*OFFSET(Data!$D$7,COLUMN(B5)-2,0)/(OFFSET(Data!$D$7,COLUMN(B5)-2,0)+Data!$D8))))^2+Data!$J8^2)-Data!$K8)/1000</f>
        <v>9.5257183616832375</v>
      </c>
      <c r="C5" s="37">
        <f>(SQRT(G*Data!$B8/Data!$C8))/1000</f>
        <v>7.3279544229603593</v>
      </c>
      <c r="D5" s="40">
        <f ca="1">C6+orbit02+orbit03</f>
        <v>22.169013316526051</v>
      </c>
      <c r="E5" s="40">
        <f ca="1">C7+orbit02+orbit04</f>
        <v>18.786589235694546</v>
      </c>
      <c r="F5" s="40">
        <f ca="1">C8+orbit02+orbit05</f>
        <v>20.173869360193741</v>
      </c>
      <c r="G5" s="40">
        <f ca="1">C9+orbit02+orbit06</f>
        <v>75.96733695468302</v>
      </c>
      <c r="H5" s="40">
        <f ca="1">C10+orbit02+orbit07</f>
        <v>52.998824989190652</v>
      </c>
      <c r="I5" s="40">
        <f ca="1">C11+orbit02+orbit08</f>
        <v>39.039215232260773</v>
      </c>
      <c r="J5" s="40">
        <f ca="1">C12+orbit02+orbit09</f>
        <v>41.249354118456871</v>
      </c>
      <c r="K5" s="40">
        <f ca="1">C13+orbit02+orbit10</f>
        <v>21.491303313014519</v>
      </c>
      <c r="L5" s="40" t="e">
        <f ca="1">C14+orbit02+orbit11</f>
        <v>#DIV/0!</v>
      </c>
      <c r="M5" s="40" t="e">
        <f ca="1">C15+orbit02+orbit12</f>
        <v>#DIV/0!</v>
      </c>
      <c r="N5" s="40" t="e">
        <f ca="1">C16+orbit02+orbit13</f>
        <v>#DIV/0!</v>
      </c>
      <c r="O5" s="40" t="e">
        <f ca="1">C17+orbit02+orbit14</f>
        <v>#DIV/0!</v>
      </c>
      <c r="P5" s="40" t="e">
        <f ca="1">C18+orbit02+orbit15</f>
        <v>#DIV/0!</v>
      </c>
      <c r="Q5" s="40" t="e">
        <f ca="1">C19+orbit02+orbit16</f>
        <v>#DIV/0!</v>
      </c>
      <c r="R5" s="40" t="e">
        <f ca="1">C20+orbit02+orbit17</f>
        <v>#DIV/0!</v>
      </c>
      <c r="S5" s="40" t="e">
        <f ca="1">C21+orbit02+orbit18</f>
        <v>#DIV/0!</v>
      </c>
      <c r="T5" s="40" t="e">
        <f ca="1">C22+orbit02+orbit19</f>
        <v>#DIV/0!</v>
      </c>
      <c r="U5" s="40" t="e">
        <f ca="1">C23+orbit02+orbit20</f>
        <v>#DIV/0!</v>
      </c>
      <c r="V5" s="40" t="e">
        <f ca="1">C24+orbit02+orbit21</f>
        <v>#DIV/0!</v>
      </c>
      <c r="W5" s="40" t="e">
        <f ca="1">C25+orbit02+orbit22</f>
        <v>#DIV/0!</v>
      </c>
      <c r="X5" s="40" t="e">
        <f ca="1">C26+orbit02+orbit23</f>
        <v>#DIV/0!</v>
      </c>
      <c r="Y5" s="40" t="e">
        <f ca="1">C27+orbit02+orbit24</f>
        <v>#DIV/0!</v>
      </c>
      <c r="Z5" s="40" t="e">
        <f ca="1">C28+orbit02+orbit25</f>
        <v>#DIV/0!</v>
      </c>
      <c r="AA5" s="40" t="e">
        <f ca="1">C29+orbit02+orbit26</f>
        <v>#DIV/0!</v>
      </c>
      <c r="AB5" s="40" t="e">
        <f ca="1">C30+orbit02+orbit27</f>
        <v>#DIV/0!</v>
      </c>
      <c r="AC5" s="40" t="e">
        <f ca="1">C31+orbit02+orbit28</f>
        <v>#DIV/0!</v>
      </c>
      <c r="AD5" s="40" t="e">
        <f ca="1">C32+orbit02+orbit29</f>
        <v>#DIV/0!</v>
      </c>
      <c r="AE5" s="40" t="e">
        <f ca="1">C33+orbit02+orbit30</f>
        <v>#DIV/0!</v>
      </c>
      <c r="AF5" s="17" t="str">
        <f>Data!A8</f>
        <v>Venus</v>
      </c>
    </row>
    <row r="6" spans="1:32" x14ac:dyDescent="0.35">
      <c r="A6" s="20" t="str">
        <f>Data!A9</f>
        <v>Earth</v>
      </c>
      <c r="B6" s="41">
        <f ca="1">(
SQRT((SQRT(GM_primary/OFFSET(Data!$D$7,COLUMN(B6)-2,0))*(SQRT(2*Data!$D9/(OFFSET(Data!$D$7,COLUMN(B6)-2,0)+Data!$D9))-1))^2+OFFSET(Data!$J$7,COLUMN(B6)-2,0)^2)-OFFSET(Data!$K$7,COLUMN(B6)-2,0)
+
SQRT((SQRT(GM_primary/Data!$D9)*(1-SQRT(2*OFFSET(Data!$D$7,COLUMN(B6)-2,0)/(OFFSET(Data!$D$7,COLUMN(B6)-2,0)+Data!$D9))))^2+Data!$J9^2)-Data!$K9)/1000</f>
        <v>13.080800708317232</v>
      </c>
      <c r="C6" s="41">
        <f ca="1">(
SQRT((SQRT(GM_primary/OFFSET(Data!$D$7,COLUMN(C6)-2,0))*(SQRT(2*Data!$D9/(OFFSET(Data!$D$7,COLUMN(C6)-2,0)+Data!$D9))-1))^2+OFFSET(Data!$J$7,COLUMN(C6)-2,0)^2)-OFFSET(Data!$K$7,COLUMN(C6)-2,0)
+
SQRT((SQRT(GM_primary/Data!$D9)*(1-SQRT(2*OFFSET(Data!$D$7,COLUMN(C6)-2,0)/(OFFSET(Data!$D$7,COLUMN(C6)-2,0)+Data!$D9))))^2+Data!$J9^2)-Data!$K9)/1000</f>
        <v>6.9334728642804091</v>
      </c>
      <c r="D6" s="37">
        <f>(SQRT(G*Data!$B9/Data!$C9))/1000</f>
        <v>7.9075860292852829</v>
      </c>
      <c r="E6" s="38">
        <f ca="1">D7+orbit03+orbit04</f>
        <v>17.246451765630308</v>
      </c>
      <c r="F6" s="38">
        <f ca="1">D8+orbit03+orbit05</f>
        <v>17.727603934527504</v>
      </c>
      <c r="G6" s="38">
        <f ca="1">D9+orbit03+orbit06</f>
        <v>74.699982174243999</v>
      </c>
      <c r="H6" s="38">
        <f ca="1">D10+orbit03+orbit07</f>
        <v>51.690201332527081</v>
      </c>
      <c r="I6" s="38">
        <f ca="1">D11+orbit03+orbit08</f>
        <v>37.759043108583967</v>
      </c>
      <c r="J6" s="38">
        <f ca="1">D12+orbit03+orbit09</f>
        <v>40.010944340075611</v>
      </c>
      <c r="K6" s="38">
        <f ca="1">D13+orbit03+orbit10</f>
        <v>20.144647851736643</v>
      </c>
      <c r="L6" s="38" t="e">
        <f ca="1">D14+orbit03+orbit11</f>
        <v>#DIV/0!</v>
      </c>
      <c r="M6" s="38" t="e">
        <f ca="1">D15+orbit03+orbit12</f>
        <v>#DIV/0!</v>
      </c>
      <c r="N6" s="38" t="e">
        <f ca="1">D16+orbit03+orbit13</f>
        <v>#DIV/0!</v>
      </c>
      <c r="O6" s="38" t="e">
        <f ca="1">D17+orbit03+orbit14</f>
        <v>#DIV/0!</v>
      </c>
      <c r="P6" s="38" t="e">
        <f ca="1">D18+orbit03+orbit15</f>
        <v>#DIV/0!</v>
      </c>
      <c r="Q6" s="38" t="e">
        <f ca="1">D19+orbit03+orbit16</f>
        <v>#DIV/0!</v>
      </c>
      <c r="R6" s="38" t="e">
        <f ca="1">D20+orbit03+orbit17</f>
        <v>#DIV/0!</v>
      </c>
      <c r="S6" s="38" t="e">
        <f ca="1">D21+orbit03+orbit18</f>
        <v>#DIV/0!</v>
      </c>
      <c r="T6" s="38" t="e">
        <f ca="1">D22+orbit03+orbit19</f>
        <v>#DIV/0!</v>
      </c>
      <c r="U6" s="38" t="e">
        <f ca="1">D23+orbit03+orbit20</f>
        <v>#DIV/0!</v>
      </c>
      <c r="V6" s="38" t="e">
        <f ca="1">D24+orbit03+orbit21</f>
        <v>#DIV/0!</v>
      </c>
      <c r="W6" s="38" t="e">
        <f ca="1">D25+orbit03+orbit22</f>
        <v>#DIV/0!</v>
      </c>
      <c r="X6" s="38" t="e">
        <f ca="1">D26+orbit03+orbit23</f>
        <v>#DIV/0!</v>
      </c>
      <c r="Y6" s="38" t="e">
        <f ca="1">D27+orbit03+orbit24</f>
        <v>#DIV/0!</v>
      </c>
      <c r="Z6" s="38" t="e">
        <f ca="1">D28+orbit03+orbit25</f>
        <v>#DIV/0!</v>
      </c>
      <c r="AA6" s="38" t="e">
        <f ca="1">D29+orbit03+orbit26</f>
        <v>#DIV/0!</v>
      </c>
      <c r="AB6" s="38" t="e">
        <f ca="1">D30+orbit03+orbit27</f>
        <v>#DIV/0!</v>
      </c>
      <c r="AC6" s="38" t="e">
        <f ca="1">D31+orbit03+orbit28</f>
        <v>#DIV/0!</v>
      </c>
      <c r="AD6" s="38" t="e">
        <f ca="1">D32+orbit03+orbit29</f>
        <v>#DIV/0!</v>
      </c>
      <c r="AE6" s="38" t="e">
        <f ca="1">D33+orbit03+orbit30</f>
        <v>#DIV/0!</v>
      </c>
      <c r="AF6" s="19" t="str">
        <f>Data!A9</f>
        <v>Earth</v>
      </c>
    </row>
    <row r="7" spans="1:32" x14ac:dyDescent="0.35">
      <c r="A7" s="5" t="str">
        <f>Data!A10</f>
        <v>Mars</v>
      </c>
      <c r="B7" s="39">
        <f ca="1">(
SQRT((SQRT(GM_primary/OFFSET(Data!$D$7,COLUMN(B7)-2,0))*(SQRT(2*Data!$D10/(OFFSET(Data!$D$7,COLUMN(B7)-2,0)+Data!$D10))-1))^2+OFFSET(Data!$J$7,COLUMN(B7)-2,0)^2)-OFFSET(Data!$K$7,COLUMN(B7)-2,0)
+
SQRT((SQRT(GM_primary/Data!$D10)*(1-SQRT(2*OFFSET(Data!$D$7,COLUMN(B7)-2,0)/(OFFSET(Data!$D$7,COLUMN(B7)-2,0)+Data!$D10))))^2+Data!$J10^2)-Data!$K10)/1000</f>
        <v>16.831655639721141</v>
      </c>
      <c r="C7" s="39">
        <f ca="1">(
SQRT((SQRT(GM_primary/OFFSET(Data!$D$7,COLUMN(C7)-2,0))*(SQRT(2*Data!$D10/(OFFSET(Data!$D$7,COLUMN(C7)-2,0)+Data!$D10))-1))^2+OFFSET(Data!$J$7,COLUMN(C7)-2,0)^2)-OFFSET(Data!$K$7,COLUMN(C7)-2,0)
+
SQRT((SQRT(GM_primary/Data!$D10)*(1-SQRT(2*OFFSET(Data!$D$7,COLUMN(C7)-2,0)/(OFFSET(Data!$D$7,COLUMN(C7)-2,0)+Data!$D10))))^2+Data!$J10^2)-Data!$K10)/1000</f>
        <v>7.9037279459009042</v>
      </c>
      <c r="D7" s="39">
        <f ca="1">(
SQRT((SQRT(GM_primary/OFFSET(Data!$D$7,COLUMN(D7)-2,0))*(SQRT(2*Data!$D10/(OFFSET(Data!$D$7,COLUMN(D7)-2,0)+Data!$D10))-1))^2+OFFSET(Data!$J$7,COLUMN(D7)-2,0)^2)-OFFSET(Data!$K$7,COLUMN(D7)-2,0)
+
SQRT((SQRT(GM_primary/Data!$D10)*(1-SQRT(2*OFFSET(Data!$D$7,COLUMN(D7)-2,0)/(OFFSET(Data!$D$7,COLUMN(D7)-2,0)+Data!$D10))))^2+Data!$J10^2)-Data!$K10)/1000</f>
        <v>5.7839588695117454</v>
      </c>
      <c r="E7" s="37">
        <f>(SQRT(G*Data!$B10/Data!$C10))/1000</f>
        <v>3.5549068668332802</v>
      </c>
      <c r="F7" s="40">
        <f ca="1">E8+orbit04+orbit05</f>
        <v>8.8593684005188411</v>
      </c>
      <c r="G7" s="40">
        <f ca="1">E9+orbit04+orbit06</f>
        <v>68.099916287853318</v>
      </c>
      <c r="H7" s="40">
        <f ca="1">E10+orbit04+orbit07</f>
        <v>45.456099740987646</v>
      </c>
      <c r="I7" s="40">
        <f ca="1">E11+orbit04+orbit08</f>
        <v>31.84209078678623</v>
      </c>
      <c r="J7" s="40">
        <f ca="1">E12+orbit04+orbit09</f>
        <v>34.259570469241098</v>
      </c>
      <c r="K7" s="40">
        <f ca="1">E13+orbit04+orbit10</f>
        <v>14.268948058796408</v>
      </c>
      <c r="L7" s="40" t="e">
        <f ca="1">E14+orbit04+orbit11</f>
        <v>#DIV/0!</v>
      </c>
      <c r="M7" s="40" t="e">
        <f ca="1">E15+orbit04+orbit12</f>
        <v>#DIV/0!</v>
      </c>
      <c r="N7" s="40" t="e">
        <f ca="1">E16+orbit04+orbit13</f>
        <v>#DIV/0!</v>
      </c>
      <c r="O7" s="40" t="e">
        <f ca="1">E17+orbit04+orbit14</f>
        <v>#DIV/0!</v>
      </c>
      <c r="P7" s="40" t="e">
        <f ca="1">E18+orbit04+orbit15</f>
        <v>#DIV/0!</v>
      </c>
      <c r="Q7" s="40" t="e">
        <f ca="1">E19+orbit04+orbit16</f>
        <v>#DIV/0!</v>
      </c>
      <c r="R7" s="40" t="e">
        <f ca="1">E20+orbit04+orbit17</f>
        <v>#DIV/0!</v>
      </c>
      <c r="S7" s="40" t="e">
        <f ca="1">E21+orbit04+orbit18</f>
        <v>#DIV/0!</v>
      </c>
      <c r="T7" s="40" t="e">
        <f ca="1">E22+orbit04+orbit19</f>
        <v>#DIV/0!</v>
      </c>
      <c r="U7" s="40" t="e">
        <f ca="1">E23+orbit04+orbit20</f>
        <v>#DIV/0!</v>
      </c>
      <c r="V7" s="40" t="e">
        <f ca="1">E24+orbit04+orbit21</f>
        <v>#DIV/0!</v>
      </c>
      <c r="W7" s="40" t="e">
        <f ca="1">E25+orbit04+orbit22</f>
        <v>#DIV/0!</v>
      </c>
      <c r="X7" s="40" t="e">
        <f ca="1">E26+orbit04+orbit23</f>
        <v>#DIV/0!</v>
      </c>
      <c r="Y7" s="40" t="e">
        <f ca="1">E27+orbit04+orbit24</f>
        <v>#DIV/0!</v>
      </c>
      <c r="Z7" s="40" t="e">
        <f ca="1">E28+orbit04+orbit25</f>
        <v>#DIV/0!</v>
      </c>
      <c r="AA7" s="40" t="e">
        <f ca="1">E29+orbit04+orbit26</f>
        <v>#DIV/0!</v>
      </c>
      <c r="AB7" s="40" t="e">
        <f ca="1">E30+orbit04+orbit27</f>
        <v>#DIV/0!</v>
      </c>
      <c r="AC7" s="40" t="e">
        <f ca="1">E31+orbit04+orbit28</f>
        <v>#DIV/0!</v>
      </c>
      <c r="AD7" s="40" t="e">
        <f ca="1">E32+orbit04+orbit29</f>
        <v>#DIV/0!</v>
      </c>
      <c r="AE7" s="40" t="e">
        <f ca="1">E33+orbit04+orbit30</f>
        <v>#DIV/0!</v>
      </c>
      <c r="AF7" s="17" t="str">
        <f>Data!A10</f>
        <v>Mars</v>
      </c>
    </row>
    <row r="8" spans="1:32" x14ac:dyDescent="0.35">
      <c r="A8" s="5" t="str">
        <f>Data!A11</f>
        <v>Ceres</v>
      </c>
      <c r="B8" s="41">
        <f ca="1">(
SQRT((SQRT(GM_primary/OFFSET(Data!$D$7,COLUMN(B8)-2,0))*(SQRT(2*Data!$D11/(OFFSET(Data!$D$7,COLUMN(B8)-2,0)+Data!$D11))-1))^2+OFFSET(Data!$J$7,COLUMN(B8)-2,0)^2)-OFFSET(Data!$K$7,COLUMN(B8)-2,0)
+
SQRT((SQRT(GM_primary/Data!$D11)*(1-SQRT(2*OFFSET(Data!$D$7,COLUMN(B8)-2,0)/(OFFSET(Data!$D$7,COLUMN(B8)-2,0)+Data!$D11))))^2+Data!$J11^2)-Data!$K11)/1000</f>
        <v>21.803704544636034</v>
      </c>
      <c r="C8" s="41">
        <f ca="1">(
SQRT((SQRT(GM_primary/OFFSET(Data!$D$7,COLUMN(C8)-2,0))*(SQRT(2*Data!$D11/(OFFSET(Data!$D$7,COLUMN(C8)-2,0)+Data!$D11))-1))^2+OFFSET(Data!$J$7,COLUMN(C8)-2,0)^2)-OFFSET(Data!$K$7,COLUMN(C8)-2,0)
+
SQRT((SQRT(GM_primary/Data!$D11)*(1-SQRT(2*OFFSET(Data!$D$7,COLUMN(C8)-2,0)/(OFFSET(Data!$D$7,COLUMN(C8)-2,0)+Data!$D11))))^2+Data!$J11^2)-Data!$K11)/1000</f>
        <v>12.495575023766067</v>
      </c>
      <c r="D8" s="41">
        <f ca="1">(
SQRT((SQRT(GM_primary/OFFSET(Data!$D$7,COLUMN(D8)-2,0))*(SQRT(2*Data!$D11/(OFFSET(Data!$D$7,COLUMN(D8)-2,0)+Data!$D11))-1))^2+OFFSET(Data!$J$7,COLUMN(D8)-2,0)^2)-OFFSET(Data!$K$7,COLUMN(D8)-2,0)
+
SQRT((SQRT(GM_primary/Data!$D11)*(1-SQRT(2*OFFSET(Data!$D$7,COLUMN(D8)-2,0)/(OFFSET(Data!$D$7,COLUMN(D8)-2,0)+Data!$D11))))^2+Data!$J11^2)-Data!$K11)/1000</f>
        <v>9.4696779917749065</v>
      </c>
      <c r="E8" s="41">
        <f ca="1">(
SQRT((SQRT(GM_primary/OFFSET(Data!$D$7,COLUMN(E8)-2,0))*(SQRT(2*Data!$D11/(OFFSET(Data!$D$7,COLUMN(E8)-2,0)+Data!$D11))-1))^2+OFFSET(Data!$J$7,COLUMN(E8)-2,0)^2)-OFFSET(Data!$K$7,COLUMN(E8)-2,0)
+
SQRT((SQRT(GM_primary/Data!$D11)*(1-SQRT(2*OFFSET(Data!$D$7,COLUMN(E8)-2,0)/(OFFSET(Data!$D$7,COLUMN(E8)-2,0)+Data!$D11))))^2+Data!$J11^2)-Data!$K11)/1000</f>
        <v>4.9541216202182428</v>
      </c>
      <c r="F8" s="37">
        <f>(SQRT(G*Data!$B11/Data!$C11))/1000</f>
        <v>0.35033991346731752</v>
      </c>
      <c r="G8" s="38">
        <f ca="1">F9+orbit05+orbit06</f>
        <v>62.851737041151864</v>
      </c>
      <c r="H8" s="38">
        <f ca="1">F10+orbit05+orbit07</f>
        <v>40.648358639410056</v>
      </c>
      <c r="I8" s="38">
        <f ca="1">F11+orbit05+orbit08</f>
        <v>27.428277704891688</v>
      </c>
      <c r="J8" s="38">
        <f ca="1">F12+orbit05+orbit09</f>
        <v>30.074692806676566</v>
      </c>
      <c r="K8" s="38">
        <f ca="1">F13+orbit05+orbit10</f>
        <v>9.8388561818018747</v>
      </c>
      <c r="L8" s="38" t="e">
        <f ca="1">F14+orbit05+orbit11</f>
        <v>#DIV/0!</v>
      </c>
      <c r="M8" s="38" t="e">
        <f ca="1">F15+orbit05+orbit12</f>
        <v>#DIV/0!</v>
      </c>
      <c r="N8" s="38" t="e">
        <f ca="1">F16+orbit05+orbit13</f>
        <v>#DIV/0!</v>
      </c>
      <c r="O8" s="38" t="e">
        <f ca="1">F17+orbit05+orbit14</f>
        <v>#DIV/0!</v>
      </c>
      <c r="P8" s="38" t="e">
        <f ca="1">F18+orbit05+orbit15</f>
        <v>#DIV/0!</v>
      </c>
      <c r="Q8" s="38" t="e">
        <f ca="1">F19+orbit05+orbit16</f>
        <v>#DIV/0!</v>
      </c>
      <c r="R8" s="38" t="e">
        <f ca="1">F20+orbit05+orbit17</f>
        <v>#DIV/0!</v>
      </c>
      <c r="S8" s="38" t="e">
        <f ca="1">F21+orbit05+orbit18</f>
        <v>#DIV/0!</v>
      </c>
      <c r="T8" s="38" t="e">
        <f ca="1">F22+orbit05+orbit19</f>
        <v>#DIV/0!</v>
      </c>
      <c r="U8" s="38" t="e">
        <f ca="1">F23+orbit05+orbit20</f>
        <v>#DIV/0!</v>
      </c>
      <c r="V8" s="38" t="e">
        <f ca="1">F24+orbit05+orbit21</f>
        <v>#DIV/0!</v>
      </c>
      <c r="W8" s="38" t="e">
        <f ca="1">F25+orbit05+orbit22</f>
        <v>#DIV/0!</v>
      </c>
      <c r="X8" s="38" t="e">
        <f ca="1">F26+orbit05+orbit23</f>
        <v>#DIV/0!</v>
      </c>
      <c r="Y8" s="38" t="e">
        <f ca="1">F27+orbit05+orbit24</f>
        <v>#DIV/0!</v>
      </c>
      <c r="Z8" s="38" t="e">
        <f ca="1">F28+orbit05+orbit25</f>
        <v>#DIV/0!</v>
      </c>
      <c r="AA8" s="38" t="e">
        <f ca="1">F29+orbit05+orbit26</f>
        <v>#DIV/0!</v>
      </c>
      <c r="AB8" s="38" t="e">
        <f ca="1">F30+orbit05+orbit27</f>
        <v>#DIV/0!</v>
      </c>
      <c r="AC8" s="38" t="e">
        <f ca="1">F31+orbit05+orbit28</f>
        <v>#DIV/0!</v>
      </c>
      <c r="AD8" s="38" t="e">
        <f ca="1">F32+orbit05+orbit29</f>
        <v>#DIV/0!</v>
      </c>
      <c r="AE8" s="38" t="e">
        <f ca="1">F33+orbit05+orbit30</f>
        <v>#DIV/0!</v>
      </c>
      <c r="AF8" s="17" t="str">
        <f>Data!A11</f>
        <v>Ceres</v>
      </c>
    </row>
    <row r="9" spans="1:32" x14ac:dyDescent="0.35">
      <c r="A9" s="5" t="str">
        <f>Data!A12</f>
        <v>Jupiter</v>
      </c>
      <c r="B9" s="39">
        <f ca="1">(
SQRT((SQRT(GM_primary/OFFSET(Data!$D$7,COLUMN(B9)-2,0))*(SQRT(2*Data!$D12/(OFFSET(Data!$D$7,COLUMN(B9)-2,0)+Data!$D12))-1))^2+OFFSET(Data!$J$7,COLUMN(B9)-2,0)^2)-OFFSET(Data!$K$7,COLUMN(B9)-2,0)
+
SQRT((SQRT(GM_primary/Data!$D12)*(1-SQRT(2*OFFSET(Data!$D$7,COLUMN(B9)-2,0)/(OFFSET(Data!$D$7,COLUMN(B9)-2,0)+Data!$D12))))^2+Data!$J12^2)-Data!$K12)/1000</f>
        <v>33.140649758780995</v>
      </c>
      <c r="C9" s="39">
        <f ca="1">(
SQRT((SQRT(GM_primary/OFFSET(Data!$D$7,COLUMN(C9)-2,0))*(SQRT(2*Data!$D12/(OFFSET(Data!$D$7,COLUMN(C9)-2,0)+Data!$D12))-1))^2+OFFSET(Data!$J$7,COLUMN(C9)-2,0)^2)-OFFSET(Data!$K$7,COLUMN(C9)-2,0)
+
SQRT((SQRT(GM_primary/Data!$D12)*(1-SQRT(2*OFFSET(Data!$D$7,COLUMN(C9)-2,0)/(OFFSET(Data!$D$7,COLUMN(C9)-2,0)+Data!$D12))))^2+Data!$J12^2)-Data!$K12)/1000</f>
        <v>26.064810831866598</v>
      </c>
      <c r="D9" s="39">
        <f ca="1">(
SQRT((SQRT(GM_primary/OFFSET(Data!$D$7,COLUMN(D9)-2,0))*(SQRT(2*Data!$D12/(OFFSET(Data!$D$7,COLUMN(D9)-2,0)+Data!$D12))-1))^2+OFFSET(Data!$J$7,COLUMN(D9)-2,0)^2)-OFFSET(Data!$K$7,COLUMN(D9)-2,0)
+
SQRT((SQRT(GM_primary/Data!$D12)*(1-SQRT(2*OFFSET(Data!$D$7,COLUMN(D9)-2,0)/(OFFSET(Data!$D$7,COLUMN(D9)-2,0)+Data!$D12))))^2+Data!$J12^2)-Data!$K12)/1000</f>
        <v>24.217824445102661</v>
      </c>
      <c r="E9" s="39">
        <f ca="1">(
SQRT((SQRT(GM_primary/OFFSET(Data!$D$7,COLUMN(E9)-2,0))*(SQRT(2*Data!$D12/(OFFSET(Data!$D$7,COLUMN(E9)-2,0)+Data!$D12))-1))^2+OFFSET(Data!$J$7,COLUMN(E9)-2,0)^2)-OFFSET(Data!$K$7,COLUMN(E9)-2,0)
+
SQRT((SQRT(GM_primary/Data!$D12)*(1-SQRT(2*OFFSET(Data!$D$7,COLUMN(E9)-2,0)/(OFFSET(Data!$D$7,COLUMN(E9)-2,0)+Data!$D12))))^2+Data!$J12^2)-Data!$K12)/1000</f>
        <v>21.970437721163979</v>
      </c>
      <c r="F9" s="39">
        <f ca="1">(
SQRT((SQRT(GM_primary/OFFSET(Data!$D$7,COLUMN(F9)-2,0))*(SQRT(2*Data!$D12/(OFFSET(Data!$D$7,COLUMN(F9)-2,0)+Data!$D12))-1))^2+OFFSET(Data!$J$7,COLUMN(F9)-2,0)^2)-OFFSET(Data!$K$7,COLUMN(F9)-2,0)
+
SQRT((SQRT(GM_primary/Data!$D12)*(1-SQRT(2*OFFSET(Data!$D$7,COLUMN(F9)-2,0)/(OFFSET(Data!$D$7,COLUMN(F9)-2,0)+Data!$D12))))^2+Data!$J12^2)-Data!$K12)/1000</f>
        <v>19.926825427828486</v>
      </c>
      <c r="G9" s="37">
        <f>(SQRT(G*Data!$B12/Data!$C12))/1000</f>
        <v>42.574571699856058</v>
      </c>
      <c r="H9" s="40">
        <f ca="1">G10+orbit06+orbit07</f>
        <v>96.350107340729949</v>
      </c>
      <c r="I9" s="40">
        <f ca="1">G11+orbit06+orbit08</f>
        <v>81.802732273245766</v>
      </c>
      <c r="J9" s="40">
        <f ca="1">G12+orbit06+orbit09</f>
        <v>83.984569345516149</v>
      </c>
      <c r="K9" s="40">
        <f ca="1">G13+orbit06+orbit10</f>
        <v>63.08593509883783</v>
      </c>
      <c r="L9" s="40" t="e">
        <f ca="1">G14+orbit06+orbit11</f>
        <v>#DIV/0!</v>
      </c>
      <c r="M9" s="40" t="e">
        <f ca="1">G15+orbit06+orbit12</f>
        <v>#DIV/0!</v>
      </c>
      <c r="N9" s="40" t="e">
        <f ca="1">G16+orbit06+orbit13</f>
        <v>#DIV/0!</v>
      </c>
      <c r="O9" s="40" t="e">
        <f ca="1">G17+orbit06+orbit14</f>
        <v>#DIV/0!</v>
      </c>
      <c r="P9" s="40" t="e">
        <f ca="1">G18+orbit06+orbit15</f>
        <v>#DIV/0!</v>
      </c>
      <c r="Q9" s="40" t="e">
        <f ca="1">G19+orbit06+orbit16</f>
        <v>#DIV/0!</v>
      </c>
      <c r="R9" s="40" t="e">
        <f ca="1">G20+orbit06+orbit17</f>
        <v>#DIV/0!</v>
      </c>
      <c r="S9" s="40" t="e">
        <f ca="1">G21+orbit06+orbit18</f>
        <v>#DIV/0!</v>
      </c>
      <c r="T9" s="40" t="e">
        <f ca="1">G22+orbit06+orbit19</f>
        <v>#DIV/0!</v>
      </c>
      <c r="U9" s="40" t="e">
        <f ca="1">G23+orbit06+orbit20</f>
        <v>#DIV/0!</v>
      </c>
      <c r="V9" s="40" t="e">
        <f ca="1">G24+orbit06+orbit21</f>
        <v>#DIV/0!</v>
      </c>
      <c r="W9" s="40" t="e">
        <f ca="1">G25+orbit06+orbit22</f>
        <v>#DIV/0!</v>
      </c>
      <c r="X9" s="40" t="e">
        <f ca="1">G26+orbit06+orbit23</f>
        <v>#DIV/0!</v>
      </c>
      <c r="Y9" s="40" t="e">
        <f ca="1">G27+orbit06+orbit24</f>
        <v>#DIV/0!</v>
      </c>
      <c r="Z9" s="40" t="e">
        <f ca="1">G28+orbit06+orbit25</f>
        <v>#DIV/0!</v>
      </c>
      <c r="AA9" s="40" t="e">
        <f ca="1">G29+orbit06+orbit26</f>
        <v>#DIV/0!</v>
      </c>
      <c r="AB9" s="40" t="e">
        <f ca="1">G30+orbit06+orbit27</f>
        <v>#DIV/0!</v>
      </c>
      <c r="AC9" s="40" t="e">
        <f ca="1">G31+orbit06+orbit28</f>
        <v>#DIV/0!</v>
      </c>
      <c r="AD9" s="40" t="e">
        <f ca="1">G32+orbit06+orbit29</f>
        <v>#DIV/0!</v>
      </c>
      <c r="AE9" s="40" t="e">
        <f ca="1">G33+orbit06+orbit30</f>
        <v>#DIV/0!</v>
      </c>
      <c r="AF9" s="17" t="str">
        <f>Data!A12</f>
        <v>Jupiter</v>
      </c>
    </row>
    <row r="10" spans="1:32" x14ac:dyDescent="0.35">
      <c r="A10" s="5" t="str">
        <f>Data!A13</f>
        <v>Saturn</v>
      </c>
      <c r="B10" s="41">
        <f ca="1">(
SQRT((SQRT(GM_primary/OFFSET(Data!$D$7,COLUMN(B10)-2,0))*(SQRT(2*Data!$D13/(OFFSET(Data!$D$7,COLUMN(B10)-2,0)+Data!$D13))-1))^2+OFFSET(Data!$J$7,COLUMN(B10)-2,0)^2)-OFFSET(Data!$K$7,COLUMN(B10)-2,0)
+
SQRT((SQRT(GM_primary/Data!$D13)*(1-SQRT(2*OFFSET(Data!$D$7,COLUMN(B10)-2,0)/(OFFSET(Data!$D$7,COLUMN(B10)-2,0)+Data!$D13))))^2+Data!$J13^2)-Data!$K13)/1000</f>
        <v>27.209094657723508</v>
      </c>
      <c r="C10" s="41">
        <f ca="1">(
SQRT((SQRT(GM_primary/OFFSET(Data!$D$7,COLUMN(C10)-2,0))*(SQRT(2*Data!$D13/(OFFSET(Data!$D$7,COLUMN(C10)-2,0)+Data!$D13))-1))^2+OFFSET(Data!$J$7,COLUMN(C10)-2,0)^2)-OFFSET(Data!$K$7,COLUMN(C10)-2,0)
+
SQRT((SQRT(GM_primary/Data!$D13)*(1-SQRT(2*OFFSET(Data!$D$7,COLUMN(C10)-2,0)/(OFFSET(Data!$D$7,COLUMN(C10)-2,0)+Data!$D13))))^2+Data!$J13^2)-Data!$K13)/1000</f>
        <v>20.15832008269868</v>
      </c>
      <c r="D10" s="41">
        <f ca="1">(
SQRT((SQRT(GM_primary/OFFSET(Data!$D$7,COLUMN(D10)-2,0))*(SQRT(2*Data!$D13/(OFFSET(Data!$D$7,COLUMN(D10)-2,0)+Data!$D13))-1))^2+OFFSET(Data!$J$7,COLUMN(D10)-2,0)^2)-OFFSET(Data!$K$7,COLUMN(D10)-2,0)
+
SQRT((SQRT(GM_primary/Data!$D13)*(1-SQRT(2*OFFSET(Data!$D$7,COLUMN(D10)-2,0)/(OFFSET(Data!$D$7,COLUMN(D10)-2,0)+Data!$D13))))^2+Data!$J13^2)-Data!$K13)/1000</f>
        <v>18.270064819710182</v>
      </c>
      <c r="E10" s="41">
        <f ca="1">(
SQRT((SQRT(GM_primary/OFFSET(Data!$D$7,COLUMN(E10)-2,0))*(SQRT(2*Data!$D13/(OFFSET(Data!$D$7,COLUMN(E10)-2,0)+Data!$D13))-1))^2+OFFSET(Data!$J$7,COLUMN(E10)-2,0)^2)-OFFSET(Data!$K$7,COLUMN(E10)-2,0)
+
SQRT((SQRT(GM_primary/Data!$D13)*(1-SQRT(2*OFFSET(Data!$D$7,COLUMN(E10)-2,0)/(OFFSET(Data!$D$7,COLUMN(E10)-2,0)+Data!$D13))))^2+Data!$J13^2)-Data!$K13)/1000</f>
        <v>16.388642390622749</v>
      </c>
      <c r="F10" s="41">
        <f ca="1">(
SQRT((SQRT(GM_primary/OFFSET(Data!$D$7,COLUMN(F10)-2,0))*(SQRT(2*Data!$D13/(OFFSET(Data!$D$7,COLUMN(F10)-2,0)+Data!$D13))-1))^2+OFFSET(Data!$J$7,COLUMN(F10)-2,0)^2)-OFFSET(Data!$K$7,COLUMN(F10)-2,0)
+
SQRT((SQRT(GM_primary/Data!$D13)*(1-SQRT(2*OFFSET(Data!$D$7,COLUMN(F10)-2,0)/(OFFSET(Data!$D$7,COLUMN(F10)-2,0)+Data!$D13))))^2+Data!$J13^2)-Data!$K13)/1000</f>
        <v>14.785468242411124</v>
      </c>
      <c r="G10" s="41">
        <f ca="1">(
SQRT((SQRT(GM_primary/OFFSET(Data!$D$7,COLUMN(G10)-2,0))*(SQRT(2*Data!$D13/(OFFSET(Data!$D$7,COLUMN(G10)-2,0)+Data!$D13))-1))^2+OFFSET(Data!$J$7,COLUMN(G10)-2,0)^2)-OFFSET(Data!$K$7,COLUMN(G10)-2,0)
+
SQRT((SQRT(GM_primary/Data!$D13)*(1-SQRT(2*OFFSET(Data!$D$7,COLUMN(G10)-2,0)/(OFFSET(Data!$D$7,COLUMN(G10)-2,0)+Data!$D13))))^2+Data!$J13^2)-Data!$K13)/1000</f>
        <v>28.262985157342285</v>
      </c>
      <c r="H10" s="37">
        <f>(SQRT(G*Data!$B13/Data!$C13))/1000</f>
        <v>25.512550483531616</v>
      </c>
      <c r="I10" s="38">
        <f ca="1">H11+orbit07+orbit08</f>
        <v>57.519532373000622</v>
      </c>
      <c r="J10" s="38">
        <f ca="1">H12+orbit07+orbit09</f>
        <v>59.71939357998712</v>
      </c>
      <c r="K10" s="38">
        <f ca="1">H13+orbit07+orbit10</f>
        <v>38.305075331095473</v>
      </c>
      <c r="L10" s="38" t="e">
        <f ca="1">H14+orbit07+orbit11</f>
        <v>#DIV/0!</v>
      </c>
      <c r="M10" s="38" t="e">
        <f ca="1">H15+orbit07+orbit12</f>
        <v>#DIV/0!</v>
      </c>
      <c r="N10" s="38" t="e">
        <f ca="1">H16+orbit07+orbit13</f>
        <v>#DIV/0!</v>
      </c>
      <c r="O10" s="38" t="e">
        <f ca="1">H17+orbit07+orbit14</f>
        <v>#DIV/0!</v>
      </c>
      <c r="P10" s="38" t="e">
        <f ca="1">H18+orbit07+orbit15</f>
        <v>#DIV/0!</v>
      </c>
      <c r="Q10" s="38" t="e">
        <f ca="1">H19+orbit07+orbit16</f>
        <v>#DIV/0!</v>
      </c>
      <c r="R10" s="38" t="e">
        <f ca="1">H20+orbit07+orbit17</f>
        <v>#DIV/0!</v>
      </c>
      <c r="S10" s="38" t="e">
        <f ca="1">H21+orbit07+orbit18</f>
        <v>#DIV/0!</v>
      </c>
      <c r="T10" s="38" t="e">
        <f ca="1">H22+orbit07+orbit19</f>
        <v>#DIV/0!</v>
      </c>
      <c r="U10" s="38" t="e">
        <f ca="1">H23+orbit07+orbit20</f>
        <v>#DIV/0!</v>
      </c>
      <c r="V10" s="38" t="e">
        <f ca="1">H24+orbit07+orbit21</f>
        <v>#DIV/0!</v>
      </c>
      <c r="W10" s="38" t="e">
        <f ca="1">H25+orbit07+orbit22</f>
        <v>#DIV/0!</v>
      </c>
      <c r="X10" s="38" t="e">
        <f ca="1">H26+orbit07+orbit23</f>
        <v>#DIV/0!</v>
      </c>
      <c r="Y10" s="38" t="e">
        <f ca="1">H27+orbit07+orbit24</f>
        <v>#DIV/0!</v>
      </c>
      <c r="Z10" s="38" t="e">
        <f ca="1">H28+orbit07+orbit25</f>
        <v>#DIV/0!</v>
      </c>
      <c r="AA10" s="38" t="e">
        <f ca="1">H29+orbit07+orbit26</f>
        <v>#DIV/0!</v>
      </c>
      <c r="AB10" s="38" t="e">
        <f ca="1">H30+orbit07+orbit27</f>
        <v>#DIV/0!</v>
      </c>
      <c r="AC10" s="38" t="e">
        <f ca="1">H31+orbit07+orbit28</f>
        <v>#DIV/0!</v>
      </c>
      <c r="AD10" s="38" t="e">
        <f ca="1">H32+orbit07+orbit29</f>
        <v>#DIV/0!</v>
      </c>
      <c r="AE10" s="38" t="e">
        <f ca="1">H33+orbit07+orbit30</f>
        <v>#DIV/0!</v>
      </c>
      <c r="AF10" s="17" t="str">
        <f>Data!A13</f>
        <v>Saturn</v>
      </c>
    </row>
    <row r="11" spans="1:32" x14ac:dyDescent="0.35">
      <c r="A11" s="5" t="str">
        <f>Data!A14</f>
        <v>Uranus</v>
      </c>
      <c r="B11" s="39">
        <f ca="1">(
SQRT((SQRT(GM_primary/OFFSET(Data!$D$7,COLUMN(B11)-2,0))*(SQRT(2*Data!$D14/(OFFSET(Data!$D$7,COLUMN(B11)-2,0)+Data!$D14))-1))^2+OFFSET(Data!$J$7,COLUMN(B11)-2,0)^2)-OFFSET(Data!$K$7,COLUMN(B11)-2,0)
+
SQRT((SQRT(GM_primary/Data!$D14)*(1-SQRT(2*OFFSET(Data!$D$7,COLUMN(B11)-2,0)/(OFFSET(Data!$D$7,COLUMN(B11)-2,0)+Data!$D14))))^2+Data!$J14^2)-Data!$K14)/1000</f>
        <v>23.561637266322801</v>
      </c>
      <c r="C11" s="39">
        <f ca="1">(
SQRT((SQRT(GM_primary/OFFSET(Data!$D$7,COLUMN(C11)-2,0))*(SQRT(2*Data!$D14/(OFFSET(Data!$D$7,COLUMN(C11)-2,0)+Data!$D14))-1))^2+OFFSET(Data!$J$7,COLUMN(C11)-2,0)^2)-OFFSET(Data!$K$7,COLUMN(C11)-2,0)
+
SQRT((SQRT(GM_primary/Data!$D14)*(1-SQRT(2*OFFSET(Data!$D$7,COLUMN(C11)-2,0)/(OFFSET(Data!$D$7,COLUMN(C11)-2,0)+Data!$D14))))^2+Data!$J14^2)-Data!$K14)/1000</f>
        <v>16.599026591352413</v>
      </c>
      <c r="D11" s="39">
        <f ca="1">(
SQRT((SQRT(GM_primary/OFFSET(Data!$D$7,COLUMN(D11)-2,0))*(SQRT(2*Data!$D14/(OFFSET(Data!$D$7,COLUMN(D11)-2,0)+Data!$D14))-1))^2+OFFSET(Data!$J$7,COLUMN(D11)-2,0)^2)-OFFSET(Data!$K$7,COLUMN(D11)-2,0)
+
SQRT((SQRT(GM_primary/Data!$D14)*(1-SQRT(2*OFFSET(Data!$D$7,COLUMN(D11)-2,0)/(OFFSET(Data!$D$7,COLUMN(D11)-2,0)+Data!$D14))))^2+Data!$J14^2)-Data!$K14)/1000</f>
        <v>14.739222861350679</v>
      </c>
      <c r="E11" s="39">
        <f ca="1">(
SQRT((SQRT(GM_primary/OFFSET(Data!$D$7,COLUMN(E11)-2,0))*(SQRT(2*Data!$D14/(OFFSET(Data!$D$7,COLUMN(E11)-2,0)+Data!$D14))-1))^2+OFFSET(Data!$J$7,COLUMN(E11)-2,0)^2)-OFFSET(Data!$K$7,COLUMN(E11)-2,0)
+
SQRT((SQRT(GM_primary/Data!$D14)*(1-SQRT(2*OFFSET(Data!$D$7,COLUMN(E11)-2,0)/(OFFSET(Data!$D$7,COLUMN(E11)-2,0)+Data!$D14))))^2+Data!$J14^2)-Data!$K14)/1000</f>
        <v>13.174949702004948</v>
      </c>
      <c r="F11" s="39">
        <f ca="1">(
SQRT((SQRT(GM_primary/OFFSET(Data!$D$7,COLUMN(F11)-2,0))*(SQRT(2*Data!$D14/(OFFSET(Data!$D$7,COLUMN(F11)-2,0)+Data!$D14))-1))^2+OFFSET(Data!$J$7,COLUMN(F11)-2,0)^2)-OFFSET(Data!$K$7,COLUMN(F11)-2,0)
+
SQRT((SQRT(GM_primary/Data!$D14)*(1-SQRT(2*OFFSET(Data!$D$7,COLUMN(F11)-2,0)/(OFFSET(Data!$D$7,COLUMN(F11)-2,0)+Data!$D14))))^2+Data!$J14^2)-Data!$K14)/1000</f>
        <v>11.965703573476368</v>
      </c>
      <c r="G11" s="39">
        <f ca="1">(
SQRT((SQRT(GM_primary/OFFSET(Data!$D$7,COLUMN(G11)-2,0))*(SQRT(2*Data!$D14/(OFFSET(Data!$D$7,COLUMN(G11)-2,0)+Data!$D14))-1))^2+OFFSET(Data!$J$7,COLUMN(G11)-2,0)^2)-OFFSET(Data!$K$7,COLUMN(G11)-2,0)
+
SQRT((SQRT(GM_primary/Data!$D14)*(1-SQRT(2*OFFSET(Data!$D$7,COLUMN(G11)-2,0)/(OFFSET(Data!$D$7,COLUMN(G11)-2,0)+Data!$D14))))^2+Data!$J14^2)-Data!$K14)/1000</f>
        <v>24.115926355441712</v>
      </c>
      <c r="H11" s="39">
        <f ca="1">(
SQRT((SQRT(GM_primary/OFFSET(Data!$D$7,COLUMN(H11)-2,0))*(SQRT(2*Data!$D14/(OFFSET(Data!$D$7,COLUMN(H11)-2,0)+Data!$D14))-1))^2+OFFSET(Data!$J$7,COLUMN(H11)-2,0)^2)-OFFSET(Data!$K$7,COLUMN(H11)-2,0)
+
SQRT((SQRT(GM_primary/Data!$D14)*(1-SQRT(2*OFFSET(Data!$D$7,COLUMN(H11)-2,0)/(OFFSET(Data!$D$7,COLUMN(H11)-2,0)+Data!$D14))))^2+Data!$J14^2)-Data!$K14)/1000</f>
        <v>16.894747671521007</v>
      </c>
      <c r="I11" s="37">
        <f>(SQRT(G*Data!$B14/Data!$C14))/1000</f>
        <v>15.112234217948002</v>
      </c>
      <c r="J11" s="40">
        <f ca="1">I12+orbit08+orbit09</f>
        <v>44.904714865086959</v>
      </c>
      <c r="K11" s="40">
        <f ca="1">I13+orbit08+orbit10</f>
        <v>22.884685869628168</v>
      </c>
      <c r="L11" s="40" t="e">
        <f ca="1">I14+orbit08+orbit11</f>
        <v>#DIV/0!</v>
      </c>
      <c r="M11" s="40" t="e">
        <f ca="1">I15+orbit08+orbit12</f>
        <v>#DIV/0!</v>
      </c>
      <c r="N11" s="40" t="e">
        <f ca="1">I16+orbit08+orbit13</f>
        <v>#DIV/0!</v>
      </c>
      <c r="O11" s="40" t="e">
        <f ca="1">I17+orbit08+orbit14</f>
        <v>#DIV/0!</v>
      </c>
      <c r="P11" s="40" t="e">
        <f ca="1">I18+orbit08+orbit15</f>
        <v>#DIV/0!</v>
      </c>
      <c r="Q11" s="40" t="e">
        <f ca="1">I19+orbit08+orbit16</f>
        <v>#DIV/0!</v>
      </c>
      <c r="R11" s="40" t="e">
        <f ca="1">I20+orbit08+orbit17</f>
        <v>#DIV/0!</v>
      </c>
      <c r="S11" s="40" t="e">
        <f ca="1">I21+orbit08+orbit18</f>
        <v>#DIV/0!</v>
      </c>
      <c r="T11" s="40" t="e">
        <f ca="1">I22+orbit08+orbit19</f>
        <v>#DIV/0!</v>
      </c>
      <c r="U11" s="40" t="e">
        <f ca="1">I23+orbit08+orbit20</f>
        <v>#DIV/0!</v>
      </c>
      <c r="V11" s="40" t="e">
        <f ca="1">I24+orbit08+orbit21</f>
        <v>#DIV/0!</v>
      </c>
      <c r="W11" s="40" t="e">
        <f ca="1">I25+orbit08+orbit22</f>
        <v>#DIV/0!</v>
      </c>
      <c r="X11" s="40" t="e">
        <f ca="1">I26+orbit08+orbit23</f>
        <v>#DIV/0!</v>
      </c>
      <c r="Y11" s="40" t="e">
        <f ca="1">I27+orbit08+orbit24</f>
        <v>#DIV/0!</v>
      </c>
      <c r="Z11" s="40" t="e">
        <f ca="1">I28+orbit08+orbit25</f>
        <v>#DIV/0!</v>
      </c>
      <c r="AA11" s="40" t="e">
        <f ca="1">I29+orbit08+orbit26</f>
        <v>#DIV/0!</v>
      </c>
      <c r="AB11" s="40" t="e">
        <f ca="1">I30+orbit08+orbit27</f>
        <v>#DIV/0!</v>
      </c>
      <c r="AC11" s="40" t="e">
        <f ca="1">I31+orbit08+orbit28</f>
        <v>#DIV/0!</v>
      </c>
      <c r="AD11" s="40" t="e">
        <f ca="1">I32+orbit08+orbit29</f>
        <v>#DIV/0!</v>
      </c>
      <c r="AE11" s="40" t="e">
        <f ca="1">I33+orbit08+orbit30</f>
        <v>#DIV/0!</v>
      </c>
      <c r="AF11" s="17" t="str">
        <f>Data!A14</f>
        <v>Uranus</v>
      </c>
    </row>
    <row r="12" spans="1:32" x14ac:dyDescent="0.35">
      <c r="A12" s="5" t="str">
        <f>Data!A15</f>
        <v>Neptune</v>
      </c>
      <c r="B12" s="41">
        <f ca="1">(
SQRT((SQRT(GM_primary/OFFSET(Data!$D$7,COLUMN(B12)-2,0))*(SQRT(2*Data!$D15/(OFFSET(Data!$D$7,COLUMN(B12)-2,0)+Data!$D15))-1))^2+OFFSET(Data!$J$7,COLUMN(B12)-2,0)^2)-OFFSET(Data!$K$7,COLUMN(B12)-2,0)
+
SQRT((SQRT(GM_primary/Data!$D15)*(1-SQRT(2*OFFSET(Data!$D$7,COLUMN(B12)-2,0)/(OFFSET(Data!$D$7,COLUMN(B12)-2,0)+Data!$D15))))^2+Data!$J15^2)-Data!$K15)/1000</f>
        <v>24.179779528206787</v>
      </c>
      <c r="C12" s="41">
        <f ca="1">(
SQRT((SQRT(GM_primary/OFFSET(Data!$D$7,COLUMN(C12)-2,0))*(SQRT(2*Data!$D15/(OFFSET(Data!$D$7,COLUMN(C12)-2,0)+Data!$D15))-1))^2+OFFSET(Data!$J$7,COLUMN(C12)-2,0)^2)-OFFSET(Data!$K$7,COLUMN(C12)-2,0)
+
SQRT((SQRT(GM_primary/Data!$D15)*(1-SQRT(2*OFFSET(Data!$D$7,COLUMN(C12)-2,0)/(OFFSET(Data!$D$7,COLUMN(C12)-2,0)+Data!$D15))))^2+Data!$J15^2)-Data!$K15)/1000</f>
        <v>17.295645817617853</v>
      </c>
      <c r="D12" s="41">
        <f ca="1">(
SQRT((SQRT(GM_primary/OFFSET(Data!$D$7,COLUMN(D12)-2,0))*(SQRT(2*Data!$D15/(OFFSET(Data!$D$7,COLUMN(D12)-2,0)+Data!$D15))-1))^2+OFFSET(Data!$J$7,COLUMN(D12)-2,0)^2)-OFFSET(Data!$K$7,COLUMN(D12)-2,0)
+
SQRT((SQRT(GM_primary/Data!$D15)*(1-SQRT(2*OFFSET(Data!$D$7,COLUMN(D12)-2,0)/(OFFSET(Data!$D$7,COLUMN(D12)-2,0)+Data!$D15))))^2+Data!$J15^2)-Data!$K15)/1000</f>
        <v>15.477604432911667</v>
      </c>
      <c r="E12" s="41">
        <f ca="1">(
SQRT((SQRT(GM_primary/OFFSET(Data!$D$7,COLUMN(E12)-2,0))*(SQRT(2*Data!$D15/(OFFSET(Data!$D$7,COLUMN(E12)-2,0)+Data!$D15))-1))^2+OFFSET(Data!$J$7,COLUMN(E12)-2,0)^2)-OFFSET(Data!$K$7,COLUMN(E12)-2,0)
+
SQRT((SQRT(GM_primary/Data!$D15)*(1-SQRT(2*OFFSET(Data!$D$7,COLUMN(E12)-2,0)/(OFFSET(Data!$D$7,COLUMN(E12)-2,0)+Data!$D15))))^2+Data!$J15^2)-Data!$K15)/1000</f>
        <v>14.078909724529163</v>
      </c>
      <c r="F12" s="41">
        <f ca="1">(
SQRT((SQRT(GM_primary/OFFSET(Data!$D$7,COLUMN(F12)-2,0))*(SQRT(2*Data!$D15/(OFFSET(Data!$D$7,COLUMN(F12)-2,0)+Data!$D15))-1))^2+OFFSET(Data!$J$7,COLUMN(F12)-2,0)^2)-OFFSET(Data!$K$7,COLUMN(F12)-2,0)
+
SQRT((SQRT(GM_primary/Data!$D15)*(1-SQRT(2*OFFSET(Data!$D$7,COLUMN(F12)-2,0)/(OFFSET(Data!$D$7,COLUMN(F12)-2,0)+Data!$D15))))^2+Data!$J15^2)-Data!$K15)/1000</f>
        <v>13.09859901533059</v>
      </c>
      <c r="G12" s="41">
        <f ca="1">(
SQRT((SQRT(GM_primary/OFFSET(Data!$D$7,COLUMN(G12)-2,0))*(SQRT(2*Data!$D15/(OFFSET(Data!$D$7,COLUMN(G12)-2,0)+Data!$D15))-1))^2+OFFSET(Data!$J$7,COLUMN(G12)-2,0)^2)-OFFSET(Data!$K$7,COLUMN(G12)-2,0)
+
SQRT((SQRT(GM_primary/Data!$D15)*(1-SQRT(2*OFFSET(Data!$D$7,COLUMN(G12)-2,0)/(OFFSET(Data!$D$7,COLUMN(G12)-2,0)+Data!$D15))))^2+Data!$J15^2)-Data!$K15)/1000</f>
        <v>24.78424376778144</v>
      </c>
      <c r="H12" s="41">
        <f ca="1">(
SQRT((SQRT(GM_primary/OFFSET(Data!$D$7,COLUMN(H12)-2,0))*(SQRT(2*Data!$D15/(OFFSET(Data!$D$7,COLUMN(H12)-2,0)+Data!$D15))-1))^2+OFFSET(Data!$J$7,COLUMN(H12)-2,0)^2)-OFFSET(Data!$K$7,COLUMN(H12)-2,0)
+
SQRT((SQRT(GM_primary/Data!$D15)*(1-SQRT(2*OFFSET(Data!$D$7,COLUMN(H12)-2,0)/(OFFSET(Data!$D$7,COLUMN(H12)-2,0)+Data!$D15))))^2+Data!$J15^2)-Data!$K15)/1000</f>
        <v>17.581089218576842</v>
      </c>
      <c r="I12" s="41">
        <f ca="1">(
SQRT((SQRT(GM_primary/OFFSET(Data!$D$7,COLUMN(I12)-2,0))*(SQRT(2*Data!$D15/(OFFSET(Data!$D$7,COLUMN(I12)-2,0)+Data!$D15))-1))^2+OFFSET(Data!$J$7,COLUMN(I12)-2,0)^2)-OFFSET(Data!$K$7,COLUMN(I12)-2,0)
+
SQRT((SQRT(GM_primary/Data!$D15)*(1-SQRT(2*OFFSET(Data!$D$7,COLUMN(I12)-2,0)/(OFFSET(Data!$D$7,COLUMN(I12)-2,0)+Data!$D15))))^2+Data!$J15^2)-Data!$K15)/1000</f>
        <v>13.166726769260295</v>
      </c>
      <c r="J12" s="37">
        <f>(SQRT(G*Data!$B15/Data!$C15))/1000</f>
        <v>16.625753877878658</v>
      </c>
      <c r="K12" s="38">
        <f ca="1">J13+orbit09+orbit10</f>
        <v>24.740785423166553</v>
      </c>
      <c r="L12" s="38" t="e">
        <f ca="1">J14+orbit09+orbit11</f>
        <v>#DIV/0!</v>
      </c>
      <c r="M12" s="38" t="e">
        <f ca="1">J15+orbit09+orbit12</f>
        <v>#DIV/0!</v>
      </c>
      <c r="N12" s="38" t="e">
        <f ca="1">J16+orbit09+orbit13</f>
        <v>#DIV/0!</v>
      </c>
      <c r="O12" s="38" t="e">
        <f ca="1">J17+orbit09+orbit14</f>
        <v>#DIV/0!</v>
      </c>
      <c r="P12" s="38" t="e">
        <f ca="1">J18+orbit09+orbit15</f>
        <v>#DIV/0!</v>
      </c>
      <c r="Q12" s="38" t="e">
        <f ca="1">J19+orbit09+orbit16</f>
        <v>#DIV/0!</v>
      </c>
      <c r="R12" s="38" t="e">
        <f ca="1">J20+orbit09+orbit17</f>
        <v>#DIV/0!</v>
      </c>
      <c r="S12" s="38" t="e">
        <f ca="1">J21+orbit09+orbit18</f>
        <v>#DIV/0!</v>
      </c>
      <c r="T12" s="38" t="e">
        <f ca="1">J22+orbit09+orbit19</f>
        <v>#DIV/0!</v>
      </c>
      <c r="U12" s="38" t="e">
        <f ca="1">J23+orbit09+orbit20</f>
        <v>#DIV/0!</v>
      </c>
      <c r="V12" s="38" t="e">
        <f ca="1">J24+orbit09+orbit21</f>
        <v>#DIV/0!</v>
      </c>
      <c r="W12" s="38" t="e">
        <f ca="1">J25+orbit09+orbit22</f>
        <v>#DIV/0!</v>
      </c>
      <c r="X12" s="38" t="e">
        <f ca="1">J26+orbit09+orbit23</f>
        <v>#DIV/0!</v>
      </c>
      <c r="Y12" s="38" t="e">
        <f ca="1">J27+orbit09+orbit24</f>
        <v>#DIV/0!</v>
      </c>
      <c r="Z12" s="38" t="e">
        <f ca="1">J28+orbit09+orbit25</f>
        <v>#DIV/0!</v>
      </c>
      <c r="AA12" s="38" t="e">
        <f ca="1">J29+orbit09+orbit26</f>
        <v>#DIV/0!</v>
      </c>
      <c r="AB12" s="38" t="e">
        <f ca="1">J30+orbit09+orbit27</f>
        <v>#DIV/0!</v>
      </c>
      <c r="AC12" s="38" t="e">
        <f ca="1">J31+orbit09+orbit28</f>
        <v>#DIV/0!</v>
      </c>
      <c r="AD12" s="38" t="e">
        <f ca="1">J32+orbit09+orbit29</f>
        <v>#DIV/0!</v>
      </c>
      <c r="AE12" s="38" t="e">
        <f ca="1">J33+orbit09+orbit30</f>
        <v>#DIV/0!</v>
      </c>
      <c r="AF12" s="17" t="str">
        <f>Data!A15</f>
        <v>Neptune</v>
      </c>
    </row>
    <row r="13" spans="1:32" x14ac:dyDescent="0.35">
      <c r="A13" s="5" t="str">
        <f>Data!A16</f>
        <v>Pluto</v>
      </c>
      <c r="B13" s="39">
        <f ca="1">(
SQRT((SQRT(GM_primary/OFFSET(Data!$D$7,COLUMN(B13)-2,0))*(SQRT(2*Data!$D16/(OFFSET(Data!$D$7,COLUMN(B13)-2,0)+Data!$D16))-1))^2+OFFSET(Data!$J$7,COLUMN(B13)-2,0)^2)-OFFSET(Data!$K$7,COLUMN(B13)-2,0)
+
SQRT((SQRT(GM_primary/Data!$D16)*(1-SQRT(2*OFFSET(Data!$D$7,COLUMN(B13)-2,0)/(OFFSET(Data!$D$7,COLUMN(B13)-2,0)+Data!$D16))))^2+Data!$J16^2)-Data!$K16)/1000</f>
        <v>20.374073977589063</v>
      </c>
      <c r="C13" s="39">
        <f ca="1">(
SQRT((SQRT(GM_primary/OFFSET(Data!$D$7,COLUMN(C13)-2,0))*(SQRT(2*Data!$D16/(OFFSET(Data!$D$7,COLUMN(C13)-2,0)+Data!$D16))-1))^2+OFFSET(Data!$J$7,COLUMN(C13)-2,0)^2)-OFFSET(Data!$K$7,COLUMN(C13)-2,0)
+
SQRT((SQRT(GM_primary/Data!$D16)*(1-SQRT(2*OFFSET(Data!$D$7,COLUMN(C13)-2,0)/(OFFSET(Data!$D$7,COLUMN(C13)-2,0)+Data!$D16))))^2+Data!$J16^2)-Data!$K16)/1000</f>
        <v>13.327877434945576</v>
      </c>
      <c r="D13" s="39">
        <f ca="1">(
SQRT((SQRT(GM_primary/OFFSET(Data!$D$7,COLUMN(D13)-2,0))*(SQRT(2*Data!$D16/(OFFSET(Data!$D$7,COLUMN(D13)-2,0)+Data!$D16))-1))^2+OFFSET(Data!$J$7,COLUMN(D13)-2,0)^2)-OFFSET(Data!$K$7,COLUMN(D13)-2,0)
+
SQRT((SQRT(GM_primary/Data!$D16)*(1-SQRT(2*OFFSET(Data!$D$7,COLUMN(D13)-2,0)/(OFFSET(Data!$D$7,COLUMN(D13)-2,0)+Data!$D16))))^2+Data!$J16^2)-Data!$K16)/1000</f>
        <v>11.401590367342775</v>
      </c>
      <c r="E13" s="39">
        <f ca="1">(
SQRT((SQRT(GM_primary/OFFSET(Data!$D$7,COLUMN(E13)-2,0))*(SQRT(2*Data!$D16/(OFFSET(Data!$D$7,COLUMN(E13)-2,0)+Data!$D16))-1))^2+OFFSET(Data!$J$7,COLUMN(E13)-2,0)^2)-OFFSET(Data!$K$7,COLUMN(E13)-2,0)
+
SQRT((SQRT(GM_primary/Data!$D16)*(1-SQRT(2*OFFSET(Data!$D$7,COLUMN(E13)-2,0)/(OFFSET(Data!$D$7,COLUMN(E13)-2,0)+Data!$D16))))^2+Data!$J16^2)-Data!$K16)/1000</f>
        <v>9.8785697368545442</v>
      </c>
      <c r="F13" s="39">
        <f ca="1">(
SQRT((SQRT(GM_primary/OFFSET(Data!$D$7,COLUMN(F13)-2,0))*(SQRT(2*Data!$D16/(OFFSET(Data!$D$7,COLUMN(F13)-2,0)+Data!$D16))-1))^2+OFFSET(Data!$J$7,COLUMN(F13)-2,0)^2)-OFFSET(Data!$K$7,COLUMN(F13)-2,0)
+
SQRT((SQRT(GM_primary/Data!$D16)*(1-SQRT(2*OFFSET(Data!$D$7,COLUMN(F13)-2,0)/(OFFSET(Data!$D$7,COLUMN(F13)-2,0)+Data!$D16))))^2+Data!$J16^2)-Data!$K16)/1000</f>
        <v>8.6530448132259732</v>
      </c>
      <c r="G13" s="39">
        <f ca="1">(
SQRT((SQRT(GM_primary/OFFSET(Data!$D$7,COLUMN(G13)-2,0))*(SQRT(2*Data!$D16/(OFFSET(Data!$D$7,COLUMN(G13)-2,0)+Data!$D16))-1))^2+OFFSET(Data!$J$7,COLUMN(G13)-2,0)^2)-OFFSET(Data!$K$7,COLUMN(G13)-2,0)
+
SQRT((SQRT(GM_primary/Data!$D16)*(1-SQRT(2*OFFSET(Data!$D$7,COLUMN(G13)-2,0)/(OFFSET(Data!$D$7,COLUMN(G13)-2,0)+Data!$D16))))^2+Data!$J16^2)-Data!$K16)/1000</f>
        <v>19.675891943873189</v>
      </c>
      <c r="H13" s="39">
        <f ca="1">(
SQRT((SQRT(GM_primary/OFFSET(Data!$D$7,COLUMN(H13)-2,0))*(SQRT(2*Data!$D16/(OFFSET(Data!$D$7,COLUMN(H13)-2,0)+Data!$D16))-1))^2+OFFSET(Data!$J$7,COLUMN(H13)-2,0)^2)-OFFSET(Data!$K$7,COLUMN(H13)-2,0)
+
SQRT((SQRT(GM_primary/Data!$D16)*(1-SQRT(2*OFFSET(Data!$D$7,COLUMN(H13)-2,0)/(OFFSET(Data!$D$7,COLUMN(H13)-2,0)+Data!$D16))))^2+Data!$J16^2)-Data!$K16)/1000</f>
        <v>11.957053392455272</v>
      </c>
      <c r="I13" s="39">
        <f ca="1">(
SQRT((SQRT(GM_primary/OFFSET(Data!$D$7,COLUMN(I13)-2,0))*(SQRT(2*Data!$D16/(OFFSET(Data!$D$7,COLUMN(I13)-2,0)+Data!$D16))-1))^2+OFFSET(Data!$J$7,COLUMN(I13)-2,0)^2)-OFFSET(Data!$K$7,COLUMN(I13)-2,0)
+
SQRT((SQRT(GM_primary/Data!$D16)*(1-SQRT(2*OFFSET(Data!$D$7,COLUMN(I13)-2,0)/(OFFSET(Data!$D$7,COLUMN(I13)-2,0)+Data!$D16))))^2+Data!$J16^2)-Data!$K16)/1000</f>
        <v>6.9369801965715796</v>
      </c>
      <c r="J13" s="39">
        <f ca="1">(
SQRT((SQRT(GM_primary/OFFSET(Data!$D$7,COLUMN(J13)-2,0))*(SQRT(2*Data!$D16/(OFFSET(Data!$D$7,COLUMN(J13)-2,0)+Data!$D16))-1))^2+OFFSET(Data!$J$7,COLUMN(J13)-2,0)^2)-OFFSET(Data!$K$7,COLUMN(J13)-2,0)
+
SQRT((SQRT(GM_primary/Data!$D16)*(1-SQRT(2*OFFSET(Data!$D$7,COLUMN(J13)-2,0)/(OFFSET(Data!$D$7,COLUMN(J13)-2,0)+Data!$D16))))^2+Data!$J16^2)-Data!$K16)/1000</f>
        <v>7.2795600901793103</v>
      </c>
      <c r="K13" s="37">
        <f>(SQRT(G*Data!$B16/Data!$C16))/1000</f>
        <v>0.83547145510858434</v>
      </c>
      <c r="L13" s="40" t="e">
        <f ca="1">K14+orbit10+orbit11</f>
        <v>#DIV/0!</v>
      </c>
      <c r="M13" s="40" t="e">
        <f ca="1">K15+orbit10+orbit12</f>
        <v>#DIV/0!</v>
      </c>
      <c r="N13" s="40" t="e">
        <f ca="1">K16+orbit10+orbit13</f>
        <v>#DIV/0!</v>
      </c>
      <c r="O13" s="40" t="e">
        <f ca="1">K17+orbit10+orbit14</f>
        <v>#DIV/0!</v>
      </c>
      <c r="P13" s="40" t="e">
        <f ca="1">K18+orbit10+orbit15</f>
        <v>#DIV/0!</v>
      </c>
      <c r="Q13" s="40" t="e">
        <f ca="1">K19+orbit10+orbit16</f>
        <v>#DIV/0!</v>
      </c>
      <c r="R13" s="40" t="e">
        <f ca="1">K20+orbit10+orbit17</f>
        <v>#DIV/0!</v>
      </c>
      <c r="S13" s="40" t="e">
        <f ca="1">K21+orbit10+orbit18</f>
        <v>#DIV/0!</v>
      </c>
      <c r="T13" s="40" t="e">
        <f ca="1">K22+orbit10+orbit19</f>
        <v>#DIV/0!</v>
      </c>
      <c r="U13" s="40" t="e">
        <f ca="1">K23+orbit10+orbit20</f>
        <v>#DIV/0!</v>
      </c>
      <c r="V13" s="40" t="e">
        <f ca="1">K24+orbit10+orbit21</f>
        <v>#DIV/0!</v>
      </c>
      <c r="W13" s="40" t="e">
        <f ca="1">K25+orbit10+orbit22</f>
        <v>#DIV/0!</v>
      </c>
      <c r="X13" s="40" t="e">
        <f ca="1">K26+orbit10+orbit23</f>
        <v>#DIV/0!</v>
      </c>
      <c r="Y13" s="40" t="e">
        <f ca="1">K27+orbit10+orbit24</f>
        <v>#DIV/0!</v>
      </c>
      <c r="Z13" s="40" t="e">
        <f ca="1">K28+orbit10+orbit25</f>
        <v>#DIV/0!</v>
      </c>
      <c r="AA13" s="40" t="e">
        <f ca="1">K29+orbit10+orbit26</f>
        <v>#DIV/0!</v>
      </c>
      <c r="AB13" s="40" t="e">
        <f ca="1">K30+orbit10+orbit27</f>
        <v>#DIV/0!</v>
      </c>
      <c r="AC13" s="40" t="e">
        <f ca="1">K31+orbit10+orbit28</f>
        <v>#DIV/0!</v>
      </c>
      <c r="AD13" s="40" t="e">
        <f ca="1">K32+orbit10+orbit29</f>
        <v>#DIV/0!</v>
      </c>
      <c r="AE13" s="40" t="e">
        <f ca="1">K33+orbit10+orbit30</f>
        <v>#DIV/0!</v>
      </c>
      <c r="AF13" s="17" t="str">
        <f>Data!A16</f>
        <v>Pluto</v>
      </c>
    </row>
    <row r="14" spans="1:32" x14ac:dyDescent="0.35">
      <c r="A14" s="5" t="str">
        <f>Data!A17</f>
        <v>S11</v>
      </c>
      <c r="B14" s="41" t="e">
        <f ca="1">(
SQRT((SQRT(GM_primary/OFFSET(Data!$D$7,COLUMN(B14)-2,0))*(SQRT(2*Data!$D17/(OFFSET(Data!$D$7,COLUMN(B14)-2,0)+Data!$D17))-1))^2+OFFSET(Data!$J$7,COLUMN(B14)-2,0)^2)-OFFSET(Data!$K$7,COLUMN(B14)-2,0)
+
SQRT((SQRT(GM_primary/Data!$D17)*(1-SQRT(2*OFFSET(Data!$D$7,COLUMN(B14)-2,0)/(OFFSET(Data!$D$7,COLUMN(B14)-2,0)+Data!$D17))))^2+Data!$J17^2)-Data!$K17)/1000</f>
        <v>#DIV/0!</v>
      </c>
      <c r="C14" s="41" t="e">
        <f ca="1">(
SQRT((SQRT(GM_primary/OFFSET(Data!$D$7,COLUMN(C14)-2,0))*(SQRT(2*Data!$D17/(OFFSET(Data!$D$7,COLUMN(C14)-2,0)+Data!$D17))-1))^2+OFFSET(Data!$J$7,COLUMN(C14)-2,0)^2)-OFFSET(Data!$K$7,COLUMN(C14)-2,0)
+
SQRT((SQRT(GM_primary/Data!$D17)*(1-SQRT(2*OFFSET(Data!$D$7,COLUMN(C14)-2,0)/(OFFSET(Data!$D$7,COLUMN(C14)-2,0)+Data!$D17))))^2+Data!$J17^2)-Data!$K17)/1000</f>
        <v>#DIV/0!</v>
      </c>
      <c r="D14" s="41" t="e">
        <f ca="1">(
SQRT((SQRT(GM_primary/OFFSET(Data!$D$7,COLUMN(D14)-2,0))*(SQRT(2*Data!$D17/(OFFSET(Data!$D$7,COLUMN(D14)-2,0)+Data!$D17))-1))^2+OFFSET(Data!$J$7,COLUMN(D14)-2,0)^2)-OFFSET(Data!$K$7,COLUMN(D14)-2,0)
+
SQRT((SQRT(GM_primary/Data!$D17)*(1-SQRT(2*OFFSET(Data!$D$7,COLUMN(D14)-2,0)/(OFFSET(Data!$D$7,COLUMN(D14)-2,0)+Data!$D17))))^2+Data!$J17^2)-Data!$K17)/1000</f>
        <v>#DIV/0!</v>
      </c>
      <c r="E14" s="41" t="e">
        <f ca="1">(
SQRT((SQRT(GM_primary/OFFSET(Data!$D$7,COLUMN(E14)-2,0))*(SQRT(2*Data!$D17/(OFFSET(Data!$D$7,COLUMN(E14)-2,0)+Data!$D17))-1))^2+OFFSET(Data!$J$7,COLUMN(E14)-2,0)^2)-OFFSET(Data!$K$7,COLUMN(E14)-2,0)
+
SQRT((SQRT(GM_primary/Data!$D17)*(1-SQRT(2*OFFSET(Data!$D$7,COLUMN(E14)-2,0)/(OFFSET(Data!$D$7,COLUMN(E14)-2,0)+Data!$D17))))^2+Data!$J17^2)-Data!$K17)/1000</f>
        <v>#DIV/0!</v>
      </c>
      <c r="F14" s="41" t="e">
        <f ca="1">(
SQRT((SQRT(GM_primary/OFFSET(Data!$D$7,COLUMN(F14)-2,0))*(SQRT(2*Data!$D17/(OFFSET(Data!$D$7,COLUMN(F14)-2,0)+Data!$D17))-1))^2+OFFSET(Data!$J$7,COLUMN(F14)-2,0)^2)-OFFSET(Data!$K$7,COLUMN(F14)-2,0)
+
SQRT((SQRT(GM_primary/Data!$D17)*(1-SQRT(2*OFFSET(Data!$D$7,COLUMN(F14)-2,0)/(OFFSET(Data!$D$7,COLUMN(F14)-2,0)+Data!$D17))))^2+Data!$J17^2)-Data!$K17)/1000</f>
        <v>#DIV/0!</v>
      </c>
      <c r="G14" s="41" t="e">
        <f ca="1">(
SQRT((SQRT(GM_primary/OFFSET(Data!$D$7,COLUMN(G14)-2,0))*(SQRT(2*Data!$D17/(OFFSET(Data!$D$7,COLUMN(G14)-2,0)+Data!$D17))-1))^2+OFFSET(Data!$J$7,COLUMN(G14)-2,0)^2)-OFFSET(Data!$K$7,COLUMN(G14)-2,0)
+
SQRT((SQRT(GM_primary/Data!$D17)*(1-SQRT(2*OFFSET(Data!$D$7,COLUMN(G14)-2,0)/(OFFSET(Data!$D$7,COLUMN(G14)-2,0)+Data!$D17))))^2+Data!$J17^2)-Data!$K17)/1000</f>
        <v>#DIV/0!</v>
      </c>
      <c r="H14" s="41" t="e">
        <f ca="1">(
SQRT((SQRT(GM_primary/OFFSET(Data!$D$7,COLUMN(H14)-2,0))*(SQRT(2*Data!$D17/(OFFSET(Data!$D$7,COLUMN(H14)-2,0)+Data!$D17))-1))^2+OFFSET(Data!$J$7,COLUMN(H14)-2,0)^2)-OFFSET(Data!$K$7,COLUMN(H14)-2,0)
+
SQRT((SQRT(GM_primary/Data!$D17)*(1-SQRT(2*OFFSET(Data!$D$7,COLUMN(H14)-2,0)/(OFFSET(Data!$D$7,COLUMN(H14)-2,0)+Data!$D17))))^2+Data!$J17^2)-Data!$K17)/1000</f>
        <v>#DIV/0!</v>
      </c>
      <c r="I14" s="41" t="e">
        <f ca="1">(
SQRT((SQRT(GM_primary/OFFSET(Data!$D$7,COLUMN(I14)-2,0))*(SQRT(2*Data!$D17/(OFFSET(Data!$D$7,COLUMN(I14)-2,0)+Data!$D17))-1))^2+OFFSET(Data!$J$7,COLUMN(I14)-2,0)^2)-OFFSET(Data!$K$7,COLUMN(I14)-2,0)
+
SQRT((SQRT(GM_primary/Data!$D17)*(1-SQRT(2*OFFSET(Data!$D$7,COLUMN(I14)-2,0)/(OFFSET(Data!$D$7,COLUMN(I14)-2,0)+Data!$D17))))^2+Data!$J17^2)-Data!$K17)/1000</f>
        <v>#DIV/0!</v>
      </c>
      <c r="J14" s="41" t="e">
        <f ca="1">(
SQRT((SQRT(GM_primary/OFFSET(Data!$D$7,COLUMN(J14)-2,0))*(SQRT(2*Data!$D17/(OFFSET(Data!$D$7,COLUMN(J14)-2,0)+Data!$D17))-1))^2+OFFSET(Data!$J$7,COLUMN(J14)-2,0)^2)-OFFSET(Data!$K$7,COLUMN(J14)-2,0)
+
SQRT((SQRT(GM_primary/Data!$D17)*(1-SQRT(2*OFFSET(Data!$D$7,COLUMN(J14)-2,0)/(OFFSET(Data!$D$7,COLUMN(J14)-2,0)+Data!$D17))))^2+Data!$J17^2)-Data!$K17)/1000</f>
        <v>#DIV/0!</v>
      </c>
      <c r="K14" s="41" t="e">
        <f ca="1">(
SQRT((SQRT(GM_primary/OFFSET(Data!$D$7,COLUMN(K14)-2,0))*(SQRT(2*Data!$D17/(OFFSET(Data!$D$7,COLUMN(K14)-2,0)+Data!$D17))-1))^2+OFFSET(Data!$J$7,COLUMN(K14)-2,0)^2)-OFFSET(Data!$K$7,COLUMN(K14)-2,0)
+
SQRT((SQRT(GM_primary/Data!$D17)*(1-SQRT(2*OFFSET(Data!$D$7,COLUMN(K14)-2,0)/(OFFSET(Data!$D$7,COLUMN(K14)-2,0)+Data!$D17))))^2+Data!$J17^2)-Data!$K17)/1000</f>
        <v>#DIV/0!</v>
      </c>
      <c r="L14" s="37" t="e">
        <f>(SQRT(G*Data!$B17/Data!$C17))/1000</f>
        <v>#VALUE!</v>
      </c>
      <c r="M14" s="38" t="e">
        <f ca="1">L15+orbit11+orbit12</f>
        <v>#DIV/0!</v>
      </c>
      <c r="N14" s="38" t="e">
        <f ca="1">L16+orbit11+orbit13</f>
        <v>#DIV/0!</v>
      </c>
      <c r="O14" s="38" t="e">
        <f ca="1">L17+orbit11+orbit14</f>
        <v>#DIV/0!</v>
      </c>
      <c r="P14" s="38" t="e">
        <f ca="1">L18+orbit11+orbit15</f>
        <v>#DIV/0!</v>
      </c>
      <c r="Q14" s="38" t="e">
        <f ca="1">L19+orbit11+orbit16</f>
        <v>#DIV/0!</v>
      </c>
      <c r="R14" s="38" t="e">
        <f ca="1">L20+orbit11+orbit17</f>
        <v>#DIV/0!</v>
      </c>
      <c r="S14" s="38" t="e">
        <f ca="1">L21+orbit11+orbit18</f>
        <v>#DIV/0!</v>
      </c>
      <c r="T14" s="38" t="e">
        <f ca="1">L22+orbit11+orbit19</f>
        <v>#DIV/0!</v>
      </c>
      <c r="U14" s="38" t="e">
        <f ca="1">L23+orbit11+orbit20</f>
        <v>#DIV/0!</v>
      </c>
      <c r="V14" s="38" t="e">
        <f ca="1">L24+orbit11+orbit21</f>
        <v>#DIV/0!</v>
      </c>
      <c r="W14" s="38" t="e">
        <f ca="1">L25+orbit11+orbit22</f>
        <v>#DIV/0!</v>
      </c>
      <c r="X14" s="38" t="e">
        <f ca="1">L26+orbit11+orbit23</f>
        <v>#DIV/0!</v>
      </c>
      <c r="Y14" s="38" t="e">
        <f ca="1">L27+orbit11+orbit24</f>
        <v>#DIV/0!</v>
      </c>
      <c r="Z14" s="38" t="e">
        <f ca="1">L28+orbit11+orbit25</f>
        <v>#DIV/0!</v>
      </c>
      <c r="AA14" s="38" t="e">
        <f ca="1">L29+orbit11+orbit26</f>
        <v>#DIV/0!</v>
      </c>
      <c r="AB14" s="38" t="e">
        <f ca="1">L30+orbit11+orbit27</f>
        <v>#DIV/0!</v>
      </c>
      <c r="AC14" s="38" t="e">
        <f ca="1">L31+orbit11+orbit28</f>
        <v>#DIV/0!</v>
      </c>
      <c r="AD14" s="38" t="e">
        <f ca="1">L32+orbit11+orbit29</f>
        <v>#DIV/0!</v>
      </c>
      <c r="AE14" s="38" t="e">
        <f ca="1">L33+orbit11+orbit30</f>
        <v>#DIV/0!</v>
      </c>
      <c r="AF14" s="17" t="str">
        <f>Data!A17</f>
        <v>S11</v>
      </c>
    </row>
    <row r="15" spans="1:32" x14ac:dyDescent="0.35">
      <c r="A15" s="5" t="str">
        <f>Data!A18</f>
        <v>S12</v>
      </c>
      <c r="B15" s="39" t="e">
        <f ca="1">(
SQRT((SQRT(GM_primary/OFFSET(Data!$D$7,COLUMN(B15)-2,0))*(SQRT(2*Data!$D18/(OFFSET(Data!$D$7,COLUMN(B15)-2,0)+Data!$D18))-1))^2+OFFSET(Data!$J$7,COLUMN(B15)-2,0)^2)-OFFSET(Data!$K$7,COLUMN(B15)-2,0)
+
SQRT((SQRT(GM_primary/Data!$D18)*(1-SQRT(2*OFFSET(Data!$D$7,COLUMN(B15)-2,0)/(OFFSET(Data!$D$7,COLUMN(B15)-2,0)+Data!$D18))))^2+Data!$J18^2)-Data!$K18)/1000</f>
        <v>#DIV/0!</v>
      </c>
      <c r="C15" s="39" t="e">
        <f ca="1">(
SQRT((SQRT(GM_primary/OFFSET(Data!$D$7,COLUMN(C15)-2,0))*(SQRT(2*Data!$D18/(OFFSET(Data!$D$7,COLUMN(C15)-2,0)+Data!$D18))-1))^2+OFFSET(Data!$J$7,COLUMN(C15)-2,0)^2)-OFFSET(Data!$K$7,COLUMN(C15)-2,0)
+
SQRT((SQRT(GM_primary/Data!$D18)*(1-SQRT(2*OFFSET(Data!$D$7,COLUMN(C15)-2,0)/(OFFSET(Data!$D$7,COLUMN(C15)-2,0)+Data!$D18))))^2+Data!$J18^2)-Data!$K18)/1000</f>
        <v>#DIV/0!</v>
      </c>
      <c r="D15" s="39" t="e">
        <f ca="1">(
SQRT((SQRT(GM_primary/OFFSET(Data!$D$7,COLUMN(D15)-2,0))*(SQRT(2*Data!$D18/(OFFSET(Data!$D$7,COLUMN(D15)-2,0)+Data!$D18))-1))^2+OFFSET(Data!$J$7,COLUMN(D15)-2,0)^2)-OFFSET(Data!$K$7,COLUMN(D15)-2,0)
+
SQRT((SQRT(GM_primary/Data!$D18)*(1-SQRT(2*OFFSET(Data!$D$7,COLUMN(D15)-2,0)/(OFFSET(Data!$D$7,COLUMN(D15)-2,0)+Data!$D18))))^2+Data!$J18^2)-Data!$K18)/1000</f>
        <v>#DIV/0!</v>
      </c>
      <c r="E15" s="39" t="e">
        <f ca="1">(
SQRT((SQRT(GM_primary/OFFSET(Data!$D$7,COLUMN(E15)-2,0))*(SQRT(2*Data!$D18/(OFFSET(Data!$D$7,COLUMN(E15)-2,0)+Data!$D18))-1))^2+OFFSET(Data!$J$7,COLUMN(E15)-2,0)^2)-OFFSET(Data!$K$7,COLUMN(E15)-2,0)
+
SQRT((SQRT(GM_primary/Data!$D18)*(1-SQRT(2*OFFSET(Data!$D$7,COLUMN(E15)-2,0)/(OFFSET(Data!$D$7,COLUMN(E15)-2,0)+Data!$D18))))^2+Data!$J18^2)-Data!$K18)/1000</f>
        <v>#DIV/0!</v>
      </c>
      <c r="F15" s="39" t="e">
        <f ca="1">(
SQRT((SQRT(GM_primary/OFFSET(Data!$D$7,COLUMN(F15)-2,0))*(SQRT(2*Data!$D18/(OFFSET(Data!$D$7,COLUMN(F15)-2,0)+Data!$D18))-1))^2+OFFSET(Data!$J$7,COLUMN(F15)-2,0)^2)-OFFSET(Data!$K$7,COLUMN(F15)-2,0)
+
SQRT((SQRT(GM_primary/Data!$D18)*(1-SQRT(2*OFFSET(Data!$D$7,COLUMN(F15)-2,0)/(OFFSET(Data!$D$7,COLUMN(F15)-2,0)+Data!$D18))))^2+Data!$J18^2)-Data!$K18)/1000</f>
        <v>#DIV/0!</v>
      </c>
      <c r="G15" s="39" t="e">
        <f ca="1">(
SQRT((SQRT(GM_primary/OFFSET(Data!$D$7,COLUMN(G15)-2,0))*(SQRT(2*Data!$D18/(OFFSET(Data!$D$7,COLUMN(G15)-2,0)+Data!$D18))-1))^2+OFFSET(Data!$J$7,COLUMN(G15)-2,0)^2)-OFFSET(Data!$K$7,COLUMN(G15)-2,0)
+
SQRT((SQRT(GM_primary/Data!$D18)*(1-SQRT(2*OFFSET(Data!$D$7,COLUMN(G15)-2,0)/(OFFSET(Data!$D$7,COLUMN(G15)-2,0)+Data!$D18))))^2+Data!$J18^2)-Data!$K18)/1000</f>
        <v>#DIV/0!</v>
      </c>
      <c r="H15" s="39" t="e">
        <f ca="1">(
SQRT((SQRT(GM_primary/OFFSET(Data!$D$7,COLUMN(H15)-2,0))*(SQRT(2*Data!$D18/(OFFSET(Data!$D$7,COLUMN(H15)-2,0)+Data!$D18))-1))^2+OFFSET(Data!$J$7,COLUMN(H15)-2,0)^2)-OFFSET(Data!$K$7,COLUMN(H15)-2,0)
+
SQRT((SQRT(GM_primary/Data!$D18)*(1-SQRT(2*OFFSET(Data!$D$7,COLUMN(H15)-2,0)/(OFFSET(Data!$D$7,COLUMN(H15)-2,0)+Data!$D18))))^2+Data!$J18^2)-Data!$K18)/1000</f>
        <v>#DIV/0!</v>
      </c>
      <c r="I15" s="39" t="e">
        <f ca="1">(
SQRT((SQRT(GM_primary/OFFSET(Data!$D$7,COLUMN(I15)-2,0))*(SQRT(2*Data!$D18/(OFFSET(Data!$D$7,COLUMN(I15)-2,0)+Data!$D18))-1))^2+OFFSET(Data!$J$7,COLUMN(I15)-2,0)^2)-OFFSET(Data!$K$7,COLUMN(I15)-2,0)
+
SQRT((SQRT(GM_primary/Data!$D18)*(1-SQRT(2*OFFSET(Data!$D$7,COLUMN(I15)-2,0)/(OFFSET(Data!$D$7,COLUMN(I15)-2,0)+Data!$D18))))^2+Data!$J18^2)-Data!$K18)/1000</f>
        <v>#DIV/0!</v>
      </c>
      <c r="J15" s="39" t="e">
        <f ca="1">(
SQRT((SQRT(GM_primary/OFFSET(Data!$D$7,COLUMN(J15)-2,0))*(SQRT(2*Data!$D18/(OFFSET(Data!$D$7,COLUMN(J15)-2,0)+Data!$D18))-1))^2+OFFSET(Data!$J$7,COLUMN(J15)-2,0)^2)-OFFSET(Data!$K$7,COLUMN(J15)-2,0)
+
SQRT((SQRT(GM_primary/Data!$D18)*(1-SQRT(2*OFFSET(Data!$D$7,COLUMN(J15)-2,0)/(OFFSET(Data!$D$7,COLUMN(J15)-2,0)+Data!$D18))))^2+Data!$J18^2)-Data!$K18)/1000</f>
        <v>#DIV/0!</v>
      </c>
      <c r="K15" s="39" t="e">
        <f ca="1">(
SQRT((SQRT(GM_primary/OFFSET(Data!$D$7,COLUMN(K15)-2,0))*(SQRT(2*Data!$D18/(OFFSET(Data!$D$7,COLUMN(K15)-2,0)+Data!$D18))-1))^2+OFFSET(Data!$J$7,COLUMN(K15)-2,0)^2)-OFFSET(Data!$K$7,COLUMN(K15)-2,0)
+
SQRT((SQRT(GM_primary/Data!$D18)*(1-SQRT(2*OFFSET(Data!$D$7,COLUMN(K15)-2,0)/(OFFSET(Data!$D$7,COLUMN(K15)-2,0)+Data!$D18))))^2+Data!$J18^2)-Data!$K18)/1000</f>
        <v>#DIV/0!</v>
      </c>
      <c r="L15" s="39" t="e">
        <f ca="1">(
SQRT((SQRT(GM_primary/OFFSET(Data!$D$7,COLUMN(L15)-2,0))*(SQRT(2*Data!$D18/(OFFSET(Data!$D$7,COLUMN(L15)-2,0)+Data!$D18))-1))^2+OFFSET(Data!$J$7,COLUMN(L15)-2,0)^2)-OFFSET(Data!$K$7,COLUMN(L15)-2,0)
+
SQRT((SQRT(GM_primary/Data!$D18)*(1-SQRT(2*OFFSET(Data!$D$7,COLUMN(L15)-2,0)/(OFFSET(Data!$D$7,COLUMN(L15)-2,0)+Data!$D18))))^2+Data!$J18^2)-Data!$K18)/1000</f>
        <v>#DIV/0!</v>
      </c>
      <c r="M15" s="37" t="e">
        <f>(SQRT(G*Data!$B18/Data!$C18))/1000</f>
        <v>#DIV/0!</v>
      </c>
      <c r="N15" s="40" t="e">
        <f ca="1">M16+orbit12+orbit13</f>
        <v>#DIV/0!</v>
      </c>
      <c r="O15" s="40" t="e">
        <f ca="1">M17+orbit12+orbit14</f>
        <v>#DIV/0!</v>
      </c>
      <c r="P15" s="40" t="e">
        <f ca="1">M18+orbit12+orbit15</f>
        <v>#DIV/0!</v>
      </c>
      <c r="Q15" s="40" t="e">
        <f ca="1">M19+orbit12+orbit16</f>
        <v>#DIV/0!</v>
      </c>
      <c r="R15" s="40" t="e">
        <f ca="1">M20+orbit12+orbit17</f>
        <v>#DIV/0!</v>
      </c>
      <c r="S15" s="40" t="e">
        <f ca="1">M21+orbit12+orbit18</f>
        <v>#DIV/0!</v>
      </c>
      <c r="T15" s="40" t="e">
        <f ca="1">M22+orbit12+orbit19</f>
        <v>#DIV/0!</v>
      </c>
      <c r="U15" s="40" t="e">
        <f ca="1">M23+orbit12+orbit20</f>
        <v>#DIV/0!</v>
      </c>
      <c r="V15" s="40" t="e">
        <f ca="1">M24+orbit12+orbit21</f>
        <v>#DIV/0!</v>
      </c>
      <c r="W15" s="40" t="e">
        <f ca="1">M25+orbit12+orbit22</f>
        <v>#DIV/0!</v>
      </c>
      <c r="X15" s="40" t="e">
        <f ca="1">M26+orbit12+orbit23</f>
        <v>#DIV/0!</v>
      </c>
      <c r="Y15" s="40" t="e">
        <f ca="1">M27+orbit12+orbit24</f>
        <v>#DIV/0!</v>
      </c>
      <c r="Z15" s="40" t="e">
        <f ca="1">M28+orbit12+orbit25</f>
        <v>#DIV/0!</v>
      </c>
      <c r="AA15" s="40" t="e">
        <f ca="1">M29+orbit12+orbit26</f>
        <v>#DIV/0!</v>
      </c>
      <c r="AB15" s="40" t="e">
        <f ca="1">M30+orbit12+orbit27</f>
        <v>#DIV/0!</v>
      </c>
      <c r="AC15" s="40" t="e">
        <f ca="1">M31+orbit12+orbit28</f>
        <v>#DIV/0!</v>
      </c>
      <c r="AD15" s="40" t="e">
        <f ca="1">M32+orbit12+orbit29</f>
        <v>#DIV/0!</v>
      </c>
      <c r="AE15" s="40" t="e">
        <f ca="1">M33+orbit12+orbit30</f>
        <v>#DIV/0!</v>
      </c>
      <c r="AF15" s="17" t="str">
        <f>Data!A18</f>
        <v>S12</v>
      </c>
    </row>
    <row r="16" spans="1:32" x14ac:dyDescent="0.35">
      <c r="A16" s="5" t="str">
        <f>Data!A19</f>
        <v>S13</v>
      </c>
      <c r="B16" s="41" t="e">
        <f ca="1">(
SQRT((SQRT(GM_primary/OFFSET(Data!$D$7,COLUMN(B16)-2,0))*(SQRT(2*Data!$D19/(OFFSET(Data!$D$7,COLUMN(B16)-2,0)+Data!$D19))-1))^2+OFFSET(Data!$J$7,COLUMN(B16)-2,0)^2)-OFFSET(Data!$K$7,COLUMN(B16)-2,0)
+
SQRT((SQRT(GM_primary/Data!$D19)*(1-SQRT(2*OFFSET(Data!$D$7,COLUMN(B16)-2,0)/(OFFSET(Data!$D$7,COLUMN(B16)-2,0)+Data!$D19))))^2+Data!$J19^2)-Data!$K19)/1000</f>
        <v>#DIV/0!</v>
      </c>
      <c r="C16" s="41" t="e">
        <f ca="1">(
SQRT((SQRT(GM_primary/OFFSET(Data!$D$7,COLUMN(C16)-2,0))*(SQRT(2*Data!$D19/(OFFSET(Data!$D$7,COLUMN(C16)-2,0)+Data!$D19))-1))^2+OFFSET(Data!$J$7,COLUMN(C16)-2,0)^2)-OFFSET(Data!$K$7,COLUMN(C16)-2,0)
+
SQRT((SQRT(GM_primary/Data!$D19)*(1-SQRT(2*OFFSET(Data!$D$7,COLUMN(C16)-2,0)/(OFFSET(Data!$D$7,COLUMN(C16)-2,0)+Data!$D19))))^2+Data!$J19^2)-Data!$K19)/1000</f>
        <v>#DIV/0!</v>
      </c>
      <c r="D16" s="41" t="e">
        <f ca="1">(
SQRT((SQRT(GM_primary/OFFSET(Data!$D$7,COLUMN(D16)-2,0))*(SQRT(2*Data!$D19/(OFFSET(Data!$D$7,COLUMN(D16)-2,0)+Data!$D19))-1))^2+OFFSET(Data!$J$7,COLUMN(D16)-2,0)^2)-OFFSET(Data!$K$7,COLUMN(D16)-2,0)
+
SQRT((SQRT(GM_primary/Data!$D19)*(1-SQRT(2*OFFSET(Data!$D$7,COLUMN(D16)-2,0)/(OFFSET(Data!$D$7,COLUMN(D16)-2,0)+Data!$D19))))^2+Data!$J19^2)-Data!$K19)/1000</f>
        <v>#DIV/0!</v>
      </c>
      <c r="E16" s="41" t="e">
        <f ca="1">(
SQRT((SQRT(GM_primary/OFFSET(Data!$D$7,COLUMN(E16)-2,0))*(SQRT(2*Data!$D19/(OFFSET(Data!$D$7,COLUMN(E16)-2,0)+Data!$D19))-1))^2+OFFSET(Data!$J$7,COLUMN(E16)-2,0)^2)-OFFSET(Data!$K$7,COLUMN(E16)-2,0)
+
SQRT((SQRT(GM_primary/Data!$D19)*(1-SQRT(2*OFFSET(Data!$D$7,COLUMN(E16)-2,0)/(OFFSET(Data!$D$7,COLUMN(E16)-2,0)+Data!$D19))))^2+Data!$J19^2)-Data!$K19)/1000</f>
        <v>#DIV/0!</v>
      </c>
      <c r="F16" s="41" t="e">
        <f ca="1">(
SQRT((SQRT(GM_primary/OFFSET(Data!$D$7,COLUMN(F16)-2,0))*(SQRT(2*Data!$D19/(OFFSET(Data!$D$7,COLUMN(F16)-2,0)+Data!$D19))-1))^2+OFFSET(Data!$J$7,COLUMN(F16)-2,0)^2)-OFFSET(Data!$K$7,COLUMN(F16)-2,0)
+
SQRT((SQRT(GM_primary/Data!$D19)*(1-SQRT(2*OFFSET(Data!$D$7,COLUMN(F16)-2,0)/(OFFSET(Data!$D$7,COLUMN(F16)-2,0)+Data!$D19))))^2+Data!$J19^2)-Data!$K19)/1000</f>
        <v>#DIV/0!</v>
      </c>
      <c r="G16" s="41" t="e">
        <f ca="1">(
SQRT((SQRT(GM_primary/OFFSET(Data!$D$7,COLUMN(G16)-2,0))*(SQRT(2*Data!$D19/(OFFSET(Data!$D$7,COLUMN(G16)-2,0)+Data!$D19))-1))^2+OFFSET(Data!$J$7,COLUMN(G16)-2,0)^2)-OFFSET(Data!$K$7,COLUMN(G16)-2,0)
+
SQRT((SQRT(GM_primary/Data!$D19)*(1-SQRT(2*OFFSET(Data!$D$7,COLUMN(G16)-2,0)/(OFFSET(Data!$D$7,COLUMN(G16)-2,0)+Data!$D19))))^2+Data!$J19^2)-Data!$K19)/1000</f>
        <v>#DIV/0!</v>
      </c>
      <c r="H16" s="41" t="e">
        <f ca="1">(
SQRT((SQRT(GM_primary/OFFSET(Data!$D$7,COLUMN(H16)-2,0))*(SQRT(2*Data!$D19/(OFFSET(Data!$D$7,COLUMN(H16)-2,0)+Data!$D19))-1))^2+OFFSET(Data!$J$7,COLUMN(H16)-2,0)^2)-OFFSET(Data!$K$7,COLUMN(H16)-2,0)
+
SQRT((SQRT(GM_primary/Data!$D19)*(1-SQRT(2*OFFSET(Data!$D$7,COLUMN(H16)-2,0)/(OFFSET(Data!$D$7,COLUMN(H16)-2,0)+Data!$D19))))^2+Data!$J19^2)-Data!$K19)/1000</f>
        <v>#DIV/0!</v>
      </c>
      <c r="I16" s="41" t="e">
        <f ca="1">(
SQRT((SQRT(GM_primary/OFFSET(Data!$D$7,COLUMN(I16)-2,0))*(SQRT(2*Data!$D19/(OFFSET(Data!$D$7,COLUMN(I16)-2,0)+Data!$D19))-1))^2+OFFSET(Data!$J$7,COLUMN(I16)-2,0)^2)-OFFSET(Data!$K$7,COLUMN(I16)-2,0)
+
SQRT((SQRT(GM_primary/Data!$D19)*(1-SQRT(2*OFFSET(Data!$D$7,COLUMN(I16)-2,0)/(OFFSET(Data!$D$7,COLUMN(I16)-2,0)+Data!$D19))))^2+Data!$J19^2)-Data!$K19)/1000</f>
        <v>#DIV/0!</v>
      </c>
      <c r="J16" s="41" t="e">
        <f ca="1">(
SQRT((SQRT(GM_primary/OFFSET(Data!$D$7,COLUMN(J16)-2,0))*(SQRT(2*Data!$D19/(OFFSET(Data!$D$7,COLUMN(J16)-2,0)+Data!$D19))-1))^2+OFFSET(Data!$J$7,COLUMN(J16)-2,0)^2)-OFFSET(Data!$K$7,COLUMN(J16)-2,0)
+
SQRT((SQRT(GM_primary/Data!$D19)*(1-SQRT(2*OFFSET(Data!$D$7,COLUMN(J16)-2,0)/(OFFSET(Data!$D$7,COLUMN(J16)-2,0)+Data!$D19))))^2+Data!$J19^2)-Data!$K19)/1000</f>
        <v>#DIV/0!</v>
      </c>
      <c r="K16" s="41" t="e">
        <f ca="1">(
SQRT((SQRT(GM_primary/OFFSET(Data!$D$7,COLUMN(K16)-2,0))*(SQRT(2*Data!$D19/(OFFSET(Data!$D$7,COLUMN(K16)-2,0)+Data!$D19))-1))^2+OFFSET(Data!$J$7,COLUMN(K16)-2,0)^2)-OFFSET(Data!$K$7,COLUMN(K16)-2,0)
+
SQRT((SQRT(GM_primary/Data!$D19)*(1-SQRT(2*OFFSET(Data!$D$7,COLUMN(K16)-2,0)/(OFFSET(Data!$D$7,COLUMN(K16)-2,0)+Data!$D19))))^2+Data!$J19^2)-Data!$K19)/1000</f>
        <v>#DIV/0!</v>
      </c>
      <c r="L16" s="41" t="e">
        <f ca="1">(
SQRT((SQRT(GM_primary/OFFSET(Data!$D$7,COLUMN(L16)-2,0))*(SQRT(2*Data!$D19/(OFFSET(Data!$D$7,COLUMN(L16)-2,0)+Data!$D19))-1))^2+OFFSET(Data!$J$7,COLUMN(L16)-2,0)^2)-OFFSET(Data!$K$7,COLUMN(L16)-2,0)
+
SQRT((SQRT(GM_primary/Data!$D19)*(1-SQRT(2*OFFSET(Data!$D$7,COLUMN(L16)-2,0)/(OFFSET(Data!$D$7,COLUMN(L16)-2,0)+Data!$D19))))^2+Data!$J19^2)-Data!$K19)/1000</f>
        <v>#DIV/0!</v>
      </c>
      <c r="M16" s="41" t="e">
        <f ca="1">(
SQRT((SQRT(GM_primary/OFFSET(Data!$D$7,COLUMN(M16)-2,0))*(SQRT(2*Data!$D19/(OFFSET(Data!$D$7,COLUMN(M16)-2,0)+Data!$D19))-1))^2+OFFSET(Data!$J$7,COLUMN(M16)-2,0)^2)-OFFSET(Data!$K$7,COLUMN(M16)-2,0)
+
SQRT((SQRT(GM_primary/Data!$D19)*(1-SQRT(2*OFFSET(Data!$D$7,COLUMN(M16)-2,0)/(OFFSET(Data!$D$7,COLUMN(M16)-2,0)+Data!$D19))))^2+Data!$J19^2)-Data!$K19)/1000</f>
        <v>#DIV/0!</v>
      </c>
      <c r="N16" s="37" t="e">
        <f>(SQRT(G*Data!$B19/Data!$C19))/1000</f>
        <v>#DIV/0!</v>
      </c>
      <c r="O16" s="38" t="e">
        <f ca="1">N17+orbit13+orbit14</f>
        <v>#DIV/0!</v>
      </c>
      <c r="P16" s="38" t="e">
        <f ca="1">N18+orbit13+orbit15</f>
        <v>#DIV/0!</v>
      </c>
      <c r="Q16" s="38" t="e">
        <f ca="1">N19+orbit13+orbit16</f>
        <v>#DIV/0!</v>
      </c>
      <c r="R16" s="38" t="e">
        <f ca="1">N20+orbit13+orbit17</f>
        <v>#DIV/0!</v>
      </c>
      <c r="S16" s="38" t="e">
        <f ca="1">N21+orbit13+orbit18</f>
        <v>#DIV/0!</v>
      </c>
      <c r="T16" s="38" t="e">
        <f ca="1">N22+orbit13+orbit19</f>
        <v>#DIV/0!</v>
      </c>
      <c r="U16" s="38" t="e">
        <f ca="1">N23+orbit13+orbit20</f>
        <v>#DIV/0!</v>
      </c>
      <c r="V16" s="38" t="e">
        <f ca="1">N24+orbit13+orbit21</f>
        <v>#DIV/0!</v>
      </c>
      <c r="W16" s="38" t="e">
        <f ca="1">N25+orbit13+orbit22</f>
        <v>#DIV/0!</v>
      </c>
      <c r="X16" s="38" t="e">
        <f ca="1">N26+orbit13+orbit23</f>
        <v>#DIV/0!</v>
      </c>
      <c r="Y16" s="38" t="e">
        <f ca="1">N27+orbit13+orbit24</f>
        <v>#DIV/0!</v>
      </c>
      <c r="Z16" s="38" t="e">
        <f ca="1">N28+orbit13+orbit25</f>
        <v>#DIV/0!</v>
      </c>
      <c r="AA16" s="38" t="e">
        <f ca="1">N29+orbit13+orbit26</f>
        <v>#DIV/0!</v>
      </c>
      <c r="AB16" s="38" t="e">
        <f ca="1">N30+orbit13+orbit27</f>
        <v>#DIV/0!</v>
      </c>
      <c r="AC16" s="38" t="e">
        <f ca="1">N31+orbit13+orbit28</f>
        <v>#DIV/0!</v>
      </c>
      <c r="AD16" s="38" t="e">
        <f ca="1">N32+orbit13+orbit29</f>
        <v>#DIV/0!</v>
      </c>
      <c r="AE16" s="38" t="e">
        <f ca="1">N33+orbit13+orbit30</f>
        <v>#DIV/0!</v>
      </c>
      <c r="AF16" s="17" t="str">
        <f>Data!A19</f>
        <v>S13</v>
      </c>
    </row>
    <row r="17" spans="1:32" x14ac:dyDescent="0.35">
      <c r="A17" s="5" t="str">
        <f>Data!A20</f>
        <v>S14</v>
      </c>
      <c r="B17" s="39" t="e">
        <f ca="1">(
SQRT((SQRT(GM_primary/OFFSET(Data!$D$7,COLUMN(B17)-2,0))*(SQRT(2*Data!$D20/(OFFSET(Data!$D$7,COLUMN(B17)-2,0)+Data!$D20))-1))^2+OFFSET(Data!$J$7,COLUMN(B17)-2,0)^2)-OFFSET(Data!$K$7,COLUMN(B17)-2,0)
+
SQRT((SQRT(GM_primary/Data!$D20)*(1-SQRT(2*OFFSET(Data!$D$7,COLUMN(B17)-2,0)/(OFFSET(Data!$D$7,COLUMN(B17)-2,0)+Data!$D20))))^2+Data!$J20^2)-Data!$K20)/1000</f>
        <v>#DIV/0!</v>
      </c>
      <c r="C17" s="39" t="e">
        <f ca="1">(
SQRT((SQRT(GM_primary/OFFSET(Data!$D$7,COLUMN(C17)-2,0))*(SQRT(2*Data!$D20/(OFFSET(Data!$D$7,COLUMN(C17)-2,0)+Data!$D20))-1))^2+OFFSET(Data!$J$7,COLUMN(C17)-2,0)^2)-OFFSET(Data!$K$7,COLUMN(C17)-2,0)
+
SQRT((SQRT(GM_primary/Data!$D20)*(1-SQRT(2*OFFSET(Data!$D$7,COLUMN(C17)-2,0)/(OFFSET(Data!$D$7,COLUMN(C17)-2,0)+Data!$D20))))^2+Data!$J20^2)-Data!$K20)/1000</f>
        <v>#DIV/0!</v>
      </c>
      <c r="D17" s="39" t="e">
        <f ca="1">(
SQRT((SQRT(GM_primary/OFFSET(Data!$D$7,COLUMN(D17)-2,0))*(SQRT(2*Data!$D20/(OFFSET(Data!$D$7,COLUMN(D17)-2,0)+Data!$D20))-1))^2+OFFSET(Data!$J$7,COLUMN(D17)-2,0)^2)-OFFSET(Data!$K$7,COLUMN(D17)-2,0)
+
SQRT((SQRT(GM_primary/Data!$D20)*(1-SQRT(2*OFFSET(Data!$D$7,COLUMN(D17)-2,0)/(OFFSET(Data!$D$7,COLUMN(D17)-2,0)+Data!$D20))))^2+Data!$J20^2)-Data!$K20)/1000</f>
        <v>#DIV/0!</v>
      </c>
      <c r="E17" s="39" t="e">
        <f ca="1">(
SQRT((SQRT(GM_primary/OFFSET(Data!$D$7,COLUMN(E17)-2,0))*(SQRT(2*Data!$D20/(OFFSET(Data!$D$7,COLUMN(E17)-2,0)+Data!$D20))-1))^2+OFFSET(Data!$J$7,COLUMN(E17)-2,0)^2)-OFFSET(Data!$K$7,COLUMN(E17)-2,0)
+
SQRT((SQRT(GM_primary/Data!$D20)*(1-SQRT(2*OFFSET(Data!$D$7,COLUMN(E17)-2,0)/(OFFSET(Data!$D$7,COLUMN(E17)-2,0)+Data!$D20))))^2+Data!$J20^2)-Data!$K20)/1000</f>
        <v>#DIV/0!</v>
      </c>
      <c r="F17" s="39" t="e">
        <f ca="1">(
SQRT((SQRT(GM_primary/OFFSET(Data!$D$7,COLUMN(F17)-2,0))*(SQRT(2*Data!$D20/(OFFSET(Data!$D$7,COLUMN(F17)-2,0)+Data!$D20))-1))^2+OFFSET(Data!$J$7,COLUMN(F17)-2,0)^2)-OFFSET(Data!$K$7,COLUMN(F17)-2,0)
+
SQRT((SQRT(GM_primary/Data!$D20)*(1-SQRT(2*OFFSET(Data!$D$7,COLUMN(F17)-2,0)/(OFFSET(Data!$D$7,COLUMN(F17)-2,0)+Data!$D20))))^2+Data!$J20^2)-Data!$K20)/1000</f>
        <v>#DIV/0!</v>
      </c>
      <c r="G17" s="39" t="e">
        <f ca="1">(
SQRT((SQRT(GM_primary/OFFSET(Data!$D$7,COLUMN(G17)-2,0))*(SQRT(2*Data!$D20/(OFFSET(Data!$D$7,COLUMN(G17)-2,0)+Data!$D20))-1))^2+OFFSET(Data!$J$7,COLUMN(G17)-2,0)^2)-OFFSET(Data!$K$7,COLUMN(G17)-2,0)
+
SQRT((SQRT(GM_primary/Data!$D20)*(1-SQRT(2*OFFSET(Data!$D$7,COLUMN(G17)-2,0)/(OFFSET(Data!$D$7,COLUMN(G17)-2,0)+Data!$D20))))^2+Data!$J20^2)-Data!$K20)/1000</f>
        <v>#DIV/0!</v>
      </c>
      <c r="H17" s="39" t="e">
        <f ca="1">(
SQRT((SQRT(GM_primary/OFFSET(Data!$D$7,COLUMN(H17)-2,0))*(SQRT(2*Data!$D20/(OFFSET(Data!$D$7,COLUMN(H17)-2,0)+Data!$D20))-1))^2+OFFSET(Data!$J$7,COLUMN(H17)-2,0)^2)-OFFSET(Data!$K$7,COLUMN(H17)-2,0)
+
SQRT((SQRT(GM_primary/Data!$D20)*(1-SQRT(2*OFFSET(Data!$D$7,COLUMN(H17)-2,0)/(OFFSET(Data!$D$7,COLUMN(H17)-2,0)+Data!$D20))))^2+Data!$J20^2)-Data!$K20)/1000</f>
        <v>#DIV/0!</v>
      </c>
      <c r="I17" s="39" t="e">
        <f ca="1">(
SQRT((SQRT(GM_primary/OFFSET(Data!$D$7,COLUMN(I17)-2,0))*(SQRT(2*Data!$D20/(OFFSET(Data!$D$7,COLUMN(I17)-2,0)+Data!$D20))-1))^2+OFFSET(Data!$J$7,COLUMN(I17)-2,0)^2)-OFFSET(Data!$K$7,COLUMN(I17)-2,0)
+
SQRT((SQRT(GM_primary/Data!$D20)*(1-SQRT(2*OFFSET(Data!$D$7,COLUMN(I17)-2,0)/(OFFSET(Data!$D$7,COLUMN(I17)-2,0)+Data!$D20))))^2+Data!$J20^2)-Data!$K20)/1000</f>
        <v>#DIV/0!</v>
      </c>
      <c r="J17" s="39" t="e">
        <f ca="1">(
SQRT((SQRT(GM_primary/OFFSET(Data!$D$7,COLUMN(J17)-2,0))*(SQRT(2*Data!$D20/(OFFSET(Data!$D$7,COLUMN(J17)-2,0)+Data!$D20))-1))^2+OFFSET(Data!$J$7,COLUMN(J17)-2,0)^2)-OFFSET(Data!$K$7,COLUMN(J17)-2,0)
+
SQRT((SQRT(GM_primary/Data!$D20)*(1-SQRT(2*OFFSET(Data!$D$7,COLUMN(J17)-2,0)/(OFFSET(Data!$D$7,COLUMN(J17)-2,0)+Data!$D20))))^2+Data!$J20^2)-Data!$K20)/1000</f>
        <v>#DIV/0!</v>
      </c>
      <c r="K17" s="39" t="e">
        <f ca="1">(
SQRT((SQRT(GM_primary/OFFSET(Data!$D$7,COLUMN(K17)-2,0))*(SQRT(2*Data!$D20/(OFFSET(Data!$D$7,COLUMN(K17)-2,0)+Data!$D20))-1))^2+OFFSET(Data!$J$7,COLUMN(K17)-2,0)^2)-OFFSET(Data!$K$7,COLUMN(K17)-2,0)
+
SQRT((SQRT(GM_primary/Data!$D20)*(1-SQRT(2*OFFSET(Data!$D$7,COLUMN(K17)-2,0)/(OFFSET(Data!$D$7,COLUMN(K17)-2,0)+Data!$D20))))^2+Data!$J20^2)-Data!$K20)/1000</f>
        <v>#DIV/0!</v>
      </c>
      <c r="L17" s="39" t="e">
        <f ca="1">(
SQRT((SQRT(GM_primary/OFFSET(Data!$D$7,COLUMN(L17)-2,0))*(SQRT(2*Data!$D20/(OFFSET(Data!$D$7,COLUMN(L17)-2,0)+Data!$D20))-1))^2+OFFSET(Data!$J$7,COLUMN(L17)-2,0)^2)-OFFSET(Data!$K$7,COLUMN(L17)-2,0)
+
SQRT((SQRT(GM_primary/Data!$D20)*(1-SQRT(2*OFFSET(Data!$D$7,COLUMN(L17)-2,0)/(OFFSET(Data!$D$7,COLUMN(L17)-2,0)+Data!$D20))))^2+Data!$J20^2)-Data!$K20)/1000</f>
        <v>#DIV/0!</v>
      </c>
      <c r="M17" s="39" t="e">
        <f ca="1">(
SQRT((SQRT(GM_primary/OFFSET(Data!$D$7,COLUMN(M17)-2,0))*(SQRT(2*Data!$D20/(OFFSET(Data!$D$7,COLUMN(M17)-2,0)+Data!$D20))-1))^2+OFFSET(Data!$J$7,COLUMN(M17)-2,0)^2)-OFFSET(Data!$K$7,COLUMN(M17)-2,0)
+
SQRT((SQRT(GM_primary/Data!$D20)*(1-SQRT(2*OFFSET(Data!$D$7,COLUMN(M17)-2,0)/(OFFSET(Data!$D$7,COLUMN(M17)-2,0)+Data!$D20))))^2+Data!$J20^2)-Data!$K20)/1000</f>
        <v>#DIV/0!</v>
      </c>
      <c r="N17" s="39" t="e">
        <f ca="1">(
SQRT((SQRT(GM_primary/OFFSET(Data!$D$7,COLUMN(N17)-2,0))*(SQRT(2*Data!$D20/(OFFSET(Data!$D$7,COLUMN(N17)-2,0)+Data!$D20))-1))^2+OFFSET(Data!$J$7,COLUMN(N17)-2,0)^2)-OFFSET(Data!$K$7,COLUMN(N17)-2,0)
+
SQRT((SQRT(GM_primary/Data!$D20)*(1-SQRT(2*OFFSET(Data!$D$7,COLUMN(N17)-2,0)/(OFFSET(Data!$D$7,COLUMN(N17)-2,0)+Data!$D20))))^2+Data!$J20^2)-Data!$K20)/1000</f>
        <v>#DIV/0!</v>
      </c>
      <c r="O17" s="37" t="e">
        <f>(SQRT(G*Data!$B20/Data!$C20))/1000</f>
        <v>#DIV/0!</v>
      </c>
      <c r="P17" s="40" t="e">
        <f ca="1">O18+orbit14+orbit15</f>
        <v>#DIV/0!</v>
      </c>
      <c r="Q17" s="40" t="e">
        <f ca="1">O19+orbit14+orbit16</f>
        <v>#DIV/0!</v>
      </c>
      <c r="R17" s="40" t="e">
        <f ca="1">O20+orbit14+orbit17</f>
        <v>#DIV/0!</v>
      </c>
      <c r="S17" s="40" t="e">
        <f ca="1">O21+orbit14+orbit18</f>
        <v>#DIV/0!</v>
      </c>
      <c r="T17" s="40" t="e">
        <f ca="1">O22+orbit14+orbit19</f>
        <v>#DIV/0!</v>
      </c>
      <c r="U17" s="40" t="e">
        <f ca="1">O23+orbit14+orbit20</f>
        <v>#DIV/0!</v>
      </c>
      <c r="V17" s="40" t="e">
        <f ca="1">O24+orbit14+orbit21</f>
        <v>#DIV/0!</v>
      </c>
      <c r="W17" s="40" t="e">
        <f ca="1">O25+orbit14+orbit22</f>
        <v>#DIV/0!</v>
      </c>
      <c r="X17" s="40" t="e">
        <f ca="1">O26+orbit14+orbit23</f>
        <v>#DIV/0!</v>
      </c>
      <c r="Y17" s="40" t="e">
        <f ca="1">O27+orbit14+orbit24</f>
        <v>#DIV/0!</v>
      </c>
      <c r="Z17" s="40" t="e">
        <f ca="1">O28+orbit14+orbit25</f>
        <v>#DIV/0!</v>
      </c>
      <c r="AA17" s="40" t="e">
        <f ca="1">O29+orbit14+orbit26</f>
        <v>#DIV/0!</v>
      </c>
      <c r="AB17" s="40" t="e">
        <f ca="1">O30+orbit14+orbit27</f>
        <v>#DIV/0!</v>
      </c>
      <c r="AC17" s="40" t="e">
        <f ca="1">O31+orbit14+orbit28</f>
        <v>#DIV/0!</v>
      </c>
      <c r="AD17" s="40" t="e">
        <f ca="1">O32+orbit14+orbit29</f>
        <v>#DIV/0!</v>
      </c>
      <c r="AE17" s="40" t="e">
        <f ca="1">O33+orbit14+orbit30</f>
        <v>#DIV/0!</v>
      </c>
      <c r="AF17" s="17" t="str">
        <f>Data!A20</f>
        <v>S14</v>
      </c>
    </row>
    <row r="18" spans="1:32" x14ac:dyDescent="0.35">
      <c r="A18" s="5" t="str">
        <f>Data!A21</f>
        <v>S15</v>
      </c>
      <c r="B18" s="41" t="e">
        <f ca="1">(
SQRT((SQRT(GM_primary/OFFSET(Data!$D$7,COLUMN(B18)-2,0))*(SQRT(2*Data!$D21/(OFFSET(Data!$D$7,COLUMN(B18)-2,0)+Data!$D21))-1))^2+OFFSET(Data!$J$7,COLUMN(B18)-2,0)^2)-OFFSET(Data!$K$7,COLUMN(B18)-2,0)
+
SQRT((SQRT(GM_primary/Data!$D21)*(1-SQRT(2*OFFSET(Data!$D$7,COLUMN(B18)-2,0)/(OFFSET(Data!$D$7,COLUMN(B18)-2,0)+Data!$D21))))^2+Data!$J21^2)-Data!$K21)/1000</f>
        <v>#DIV/0!</v>
      </c>
      <c r="C18" s="41" t="e">
        <f ca="1">(
SQRT((SQRT(GM_primary/OFFSET(Data!$D$7,COLUMN(C18)-2,0))*(SQRT(2*Data!$D21/(OFFSET(Data!$D$7,COLUMN(C18)-2,0)+Data!$D21))-1))^2+OFFSET(Data!$J$7,COLUMN(C18)-2,0)^2)-OFFSET(Data!$K$7,COLUMN(C18)-2,0)
+
SQRT((SQRT(GM_primary/Data!$D21)*(1-SQRT(2*OFFSET(Data!$D$7,COLUMN(C18)-2,0)/(OFFSET(Data!$D$7,COLUMN(C18)-2,0)+Data!$D21))))^2+Data!$J21^2)-Data!$K21)/1000</f>
        <v>#DIV/0!</v>
      </c>
      <c r="D18" s="41" t="e">
        <f ca="1">(
SQRT((SQRT(GM_primary/OFFSET(Data!$D$7,COLUMN(D18)-2,0))*(SQRT(2*Data!$D21/(OFFSET(Data!$D$7,COLUMN(D18)-2,0)+Data!$D21))-1))^2+OFFSET(Data!$J$7,COLUMN(D18)-2,0)^2)-OFFSET(Data!$K$7,COLUMN(D18)-2,0)
+
SQRT((SQRT(GM_primary/Data!$D21)*(1-SQRT(2*OFFSET(Data!$D$7,COLUMN(D18)-2,0)/(OFFSET(Data!$D$7,COLUMN(D18)-2,0)+Data!$D21))))^2+Data!$J21^2)-Data!$K21)/1000</f>
        <v>#DIV/0!</v>
      </c>
      <c r="E18" s="41" t="e">
        <f ca="1">(
SQRT((SQRT(GM_primary/OFFSET(Data!$D$7,COLUMN(E18)-2,0))*(SQRT(2*Data!$D21/(OFFSET(Data!$D$7,COLUMN(E18)-2,0)+Data!$D21))-1))^2+OFFSET(Data!$J$7,COLUMN(E18)-2,0)^2)-OFFSET(Data!$K$7,COLUMN(E18)-2,0)
+
SQRT((SQRT(GM_primary/Data!$D21)*(1-SQRT(2*OFFSET(Data!$D$7,COLUMN(E18)-2,0)/(OFFSET(Data!$D$7,COLUMN(E18)-2,0)+Data!$D21))))^2+Data!$J21^2)-Data!$K21)/1000</f>
        <v>#DIV/0!</v>
      </c>
      <c r="F18" s="41" t="e">
        <f ca="1">(
SQRT((SQRT(GM_primary/OFFSET(Data!$D$7,COLUMN(F18)-2,0))*(SQRT(2*Data!$D21/(OFFSET(Data!$D$7,COLUMN(F18)-2,0)+Data!$D21))-1))^2+OFFSET(Data!$J$7,COLUMN(F18)-2,0)^2)-OFFSET(Data!$K$7,COLUMN(F18)-2,0)
+
SQRT((SQRT(GM_primary/Data!$D21)*(1-SQRT(2*OFFSET(Data!$D$7,COLUMN(F18)-2,0)/(OFFSET(Data!$D$7,COLUMN(F18)-2,0)+Data!$D21))))^2+Data!$J21^2)-Data!$K21)/1000</f>
        <v>#DIV/0!</v>
      </c>
      <c r="G18" s="41" t="e">
        <f ca="1">(
SQRT((SQRT(GM_primary/OFFSET(Data!$D$7,COLUMN(G18)-2,0))*(SQRT(2*Data!$D21/(OFFSET(Data!$D$7,COLUMN(G18)-2,0)+Data!$D21))-1))^2+OFFSET(Data!$J$7,COLUMN(G18)-2,0)^2)-OFFSET(Data!$K$7,COLUMN(G18)-2,0)
+
SQRT((SQRT(GM_primary/Data!$D21)*(1-SQRT(2*OFFSET(Data!$D$7,COLUMN(G18)-2,0)/(OFFSET(Data!$D$7,COLUMN(G18)-2,0)+Data!$D21))))^2+Data!$J21^2)-Data!$K21)/1000</f>
        <v>#DIV/0!</v>
      </c>
      <c r="H18" s="41" t="e">
        <f ca="1">(
SQRT((SQRT(GM_primary/OFFSET(Data!$D$7,COLUMN(H18)-2,0))*(SQRT(2*Data!$D21/(OFFSET(Data!$D$7,COLUMN(H18)-2,0)+Data!$D21))-1))^2+OFFSET(Data!$J$7,COLUMN(H18)-2,0)^2)-OFFSET(Data!$K$7,COLUMN(H18)-2,0)
+
SQRT((SQRT(GM_primary/Data!$D21)*(1-SQRT(2*OFFSET(Data!$D$7,COLUMN(H18)-2,0)/(OFFSET(Data!$D$7,COLUMN(H18)-2,0)+Data!$D21))))^2+Data!$J21^2)-Data!$K21)/1000</f>
        <v>#DIV/0!</v>
      </c>
      <c r="I18" s="41" t="e">
        <f ca="1">(
SQRT((SQRT(GM_primary/OFFSET(Data!$D$7,COLUMN(I18)-2,0))*(SQRT(2*Data!$D21/(OFFSET(Data!$D$7,COLUMN(I18)-2,0)+Data!$D21))-1))^2+OFFSET(Data!$J$7,COLUMN(I18)-2,0)^2)-OFFSET(Data!$K$7,COLUMN(I18)-2,0)
+
SQRT((SQRT(GM_primary/Data!$D21)*(1-SQRT(2*OFFSET(Data!$D$7,COLUMN(I18)-2,0)/(OFFSET(Data!$D$7,COLUMN(I18)-2,0)+Data!$D21))))^2+Data!$J21^2)-Data!$K21)/1000</f>
        <v>#DIV/0!</v>
      </c>
      <c r="J18" s="41" t="e">
        <f ca="1">(
SQRT((SQRT(GM_primary/OFFSET(Data!$D$7,COLUMN(J18)-2,0))*(SQRT(2*Data!$D21/(OFFSET(Data!$D$7,COLUMN(J18)-2,0)+Data!$D21))-1))^2+OFFSET(Data!$J$7,COLUMN(J18)-2,0)^2)-OFFSET(Data!$K$7,COLUMN(J18)-2,0)
+
SQRT((SQRT(GM_primary/Data!$D21)*(1-SQRT(2*OFFSET(Data!$D$7,COLUMN(J18)-2,0)/(OFFSET(Data!$D$7,COLUMN(J18)-2,0)+Data!$D21))))^2+Data!$J21^2)-Data!$K21)/1000</f>
        <v>#DIV/0!</v>
      </c>
      <c r="K18" s="41" t="e">
        <f ca="1">(
SQRT((SQRT(GM_primary/OFFSET(Data!$D$7,COLUMN(K18)-2,0))*(SQRT(2*Data!$D21/(OFFSET(Data!$D$7,COLUMN(K18)-2,0)+Data!$D21))-1))^2+OFFSET(Data!$J$7,COLUMN(K18)-2,0)^2)-OFFSET(Data!$K$7,COLUMN(K18)-2,0)
+
SQRT((SQRT(GM_primary/Data!$D21)*(1-SQRT(2*OFFSET(Data!$D$7,COLUMN(K18)-2,0)/(OFFSET(Data!$D$7,COLUMN(K18)-2,0)+Data!$D21))))^2+Data!$J21^2)-Data!$K21)/1000</f>
        <v>#DIV/0!</v>
      </c>
      <c r="L18" s="41" t="e">
        <f ca="1">(
SQRT((SQRT(GM_primary/OFFSET(Data!$D$7,COLUMN(L18)-2,0))*(SQRT(2*Data!$D21/(OFFSET(Data!$D$7,COLUMN(L18)-2,0)+Data!$D21))-1))^2+OFFSET(Data!$J$7,COLUMN(L18)-2,0)^2)-OFFSET(Data!$K$7,COLUMN(L18)-2,0)
+
SQRT((SQRT(GM_primary/Data!$D21)*(1-SQRT(2*OFFSET(Data!$D$7,COLUMN(L18)-2,0)/(OFFSET(Data!$D$7,COLUMN(L18)-2,0)+Data!$D21))))^2+Data!$J21^2)-Data!$K21)/1000</f>
        <v>#DIV/0!</v>
      </c>
      <c r="M18" s="41" t="e">
        <f ca="1">(
SQRT((SQRT(GM_primary/OFFSET(Data!$D$7,COLUMN(M18)-2,0))*(SQRT(2*Data!$D21/(OFFSET(Data!$D$7,COLUMN(M18)-2,0)+Data!$D21))-1))^2+OFFSET(Data!$J$7,COLUMN(M18)-2,0)^2)-OFFSET(Data!$K$7,COLUMN(M18)-2,0)
+
SQRT((SQRT(GM_primary/Data!$D21)*(1-SQRT(2*OFFSET(Data!$D$7,COLUMN(M18)-2,0)/(OFFSET(Data!$D$7,COLUMN(M18)-2,0)+Data!$D21))))^2+Data!$J21^2)-Data!$K21)/1000</f>
        <v>#DIV/0!</v>
      </c>
      <c r="N18" s="41" t="e">
        <f ca="1">(
SQRT((SQRT(GM_primary/OFFSET(Data!$D$7,COLUMN(N18)-2,0))*(SQRT(2*Data!$D21/(OFFSET(Data!$D$7,COLUMN(N18)-2,0)+Data!$D21))-1))^2+OFFSET(Data!$J$7,COLUMN(N18)-2,0)^2)-OFFSET(Data!$K$7,COLUMN(N18)-2,0)
+
SQRT((SQRT(GM_primary/Data!$D21)*(1-SQRT(2*OFFSET(Data!$D$7,COLUMN(N18)-2,0)/(OFFSET(Data!$D$7,COLUMN(N18)-2,0)+Data!$D21))))^2+Data!$J21^2)-Data!$K21)/1000</f>
        <v>#DIV/0!</v>
      </c>
      <c r="O18" s="41" t="e">
        <f ca="1">(
SQRT((SQRT(GM_primary/OFFSET(Data!$D$7,COLUMN(O18)-2,0))*(SQRT(2*Data!$D21/(OFFSET(Data!$D$7,COLUMN(O18)-2,0)+Data!$D21))-1))^2+OFFSET(Data!$J$7,COLUMN(O18)-2,0)^2)-OFFSET(Data!$K$7,COLUMN(O18)-2,0)
+
SQRT((SQRT(GM_primary/Data!$D21)*(1-SQRT(2*OFFSET(Data!$D$7,COLUMN(O18)-2,0)/(OFFSET(Data!$D$7,COLUMN(O18)-2,0)+Data!$D21))))^2+Data!$J21^2)-Data!$K21)/1000</f>
        <v>#DIV/0!</v>
      </c>
      <c r="P18" s="37" t="e">
        <f>(SQRT(G*Data!$B21/Data!$C21))/1000</f>
        <v>#DIV/0!</v>
      </c>
      <c r="Q18" s="38" t="e">
        <f ca="1">P19+orbit15+orbit16</f>
        <v>#DIV/0!</v>
      </c>
      <c r="R18" s="38" t="e">
        <f ca="1">P20+orbit15+orbit17</f>
        <v>#DIV/0!</v>
      </c>
      <c r="S18" s="38" t="e">
        <f ca="1">P21+orbit15+orbit18</f>
        <v>#DIV/0!</v>
      </c>
      <c r="T18" s="38" t="e">
        <f ca="1">P22+orbit15+orbit19</f>
        <v>#DIV/0!</v>
      </c>
      <c r="U18" s="38" t="e">
        <f ca="1">P23+orbit15+orbit20</f>
        <v>#DIV/0!</v>
      </c>
      <c r="V18" s="38" t="e">
        <f ca="1">P24+orbit15+orbit21</f>
        <v>#DIV/0!</v>
      </c>
      <c r="W18" s="38" t="e">
        <f ca="1">P25+orbit15+orbit22</f>
        <v>#DIV/0!</v>
      </c>
      <c r="X18" s="38" t="e">
        <f ca="1">P26+orbit15+orbit23</f>
        <v>#DIV/0!</v>
      </c>
      <c r="Y18" s="38" t="e">
        <f ca="1">P27+orbit15+orbit24</f>
        <v>#DIV/0!</v>
      </c>
      <c r="Z18" s="38" t="e">
        <f ca="1">P28+orbit15+orbit25</f>
        <v>#DIV/0!</v>
      </c>
      <c r="AA18" s="38" t="e">
        <f ca="1">P29+orbit15+orbit26</f>
        <v>#DIV/0!</v>
      </c>
      <c r="AB18" s="38" t="e">
        <f ca="1">P30+orbit15+orbit27</f>
        <v>#DIV/0!</v>
      </c>
      <c r="AC18" s="38" t="e">
        <f ca="1">P31+orbit15+orbit28</f>
        <v>#DIV/0!</v>
      </c>
      <c r="AD18" s="38" t="e">
        <f ca="1">P32+orbit15+orbit29</f>
        <v>#DIV/0!</v>
      </c>
      <c r="AE18" s="38" t="e">
        <f ca="1">P33+orbit15+orbit30</f>
        <v>#DIV/0!</v>
      </c>
      <c r="AF18" s="17" t="str">
        <f>Data!A21</f>
        <v>S15</v>
      </c>
    </row>
    <row r="19" spans="1:32" x14ac:dyDescent="0.35">
      <c r="A19" s="5" t="str">
        <f>Data!A22</f>
        <v>S16</v>
      </c>
      <c r="B19" s="39" t="e">
        <f ca="1">(
SQRT((SQRT(GM_primary/OFFSET(Data!$D$7,COLUMN(B19)-2,0))*(SQRT(2*Data!$D22/(OFFSET(Data!$D$7,COLUMN(B19)-2,0)+Data!$D22))-1))^2+OFFSET(Data!$J$7,COLUMN(B19)-2,0)^2)-OFFSET(Data!$K$7,COLUMN(B19)-2,0)
+
SQRT((SQRT(GM_primary/Data!$D22)*(1-SQRT(2*OFFSET(Data!$D$7,COLUMN(B19)-2,0)/(OFFSET(Data!$D$7,COLUMN(B19)-2,0)+Data!$D22))))^2+Data!$J22^2)-Data!$K22)/1000</f>
        <v>#DIV/0!</v>
      </c>
      <c r="C19" s="39" t="e">
        <f ca="1">(
SQRT((SQRT(GM_primary/OFFSET(Data!$D$7,COLUMN(C19)-2,0))*(SQRT(2*Data!$D22/(OFFSET(Data!$D$7,COLUMN(C19)-2,0)+Data!$D22))-1))^2+OFFSET(Data!$J$7,COLUMN(C19)-2,0)^2)-OFFSET(Data!$K$7,COLUMN(C19)-2,0)
+
SQRT((SQRT(GM_primary/Data!$D22)*(1-SQRT(2*OFFSET(Data!$D$7,COLUMN(C19)-2,0)/(OFFSET(Data!$D$7,COLUMN(C19)-2,0)+Data!$D22))))^2+Data!$J22^2)-Data!$K22)/1000</f>
        <v>#DIV/0!</v>
      </c>
      <c r="D19" s="39" t="e">
        <f ca="1">(
SQRT((SQRT(GM_primary/OFFSET(Data!$D$7,COLUMN(D19)-2,0))*(SQRT(2*Data!$D22/(OFFSET(Data!$D$7,COLUMN(D19)-2,0)+Data!$D22))-1))^2+OFFSET(Data!$J$7,COLUMN(D19)-2,0)^2)-OFFSET(Data!$K$7,COLUMN(D19)-2,0)
+
SQRT((SQRT(GM_primary/Data!$D22)*(1-SQRT(2*OFFSET(Data!$D$7,COLUMN(D19)-2,0)/(OFFSET(Data!$D$7,COLUMN(D19)-2,0)+Data!$D22))))^2+Data!$J22^2)-Data!$K22)/1000</f>
        <v>#DIV/0!</v>
      </c>
      <c r="E19" s="39" t="e">
        <f ca="1">(
SQRT((SQRT(GM_primary/OFFSET(Data!$D$7,COLUMN(E19)-2,0))*(SQRT(2*Data!$D22/(OFFSET(Data!$D$7,COLUMN(E19)-2,0)+Data!$D22))-1))^2+OFFSET(Data!$J$7,COLUMN(E19)-2,0)^2)-OFFSET(Data!$K$7,COLUMN(E19)-2,0)
+
SQRT((SQRT(GM_primary/Data!$D22)*(1-SQRT(2*OFFSET(Data!$D$7,COLUMN(E19)-2,0)/(OFFSET(Data!$D$7,COLUMN(E19)-2,0)+Data!$D22))))^2+Data!$J22^2)-Data!$K22)/1000</f>
        <v>#DIV/0!</v>
      </c>
      <c r="F19" s="39" t="e">
        <f ca="1">(
SQRT((SQRT(GM_primary/OFFSET(Data!$D$7,COLUMN(F19)-2,0))*(SQRT(2*Data!$D22/(OFFSET(Data!$D$7,COLUMN(F19)-2,0)+Data!$D22))-1))^2+OFFSET(Data!$J$7,COLUMN(F19)-2,0)^2)-OFFSET(Data!$K$7,COLUMN(F19)-2,0)
+
SQRT((SQRT(GM_primary/Data!$D22)*(1-SQRT(2*OFFSET(Data!$D$7,COLUMN(F19)-2,0)/(OFFSET(Data!$D$7,COLUMN(F19)-2,0)+Data!$D22))))^2+Data!$J22^2)-Data!$K22)/1000</f>
        <v>#DIV/0!</v>
      </c>
      <c r="G19" s="39" t="e">
        <f ca="1">(
SQRT((SQRT(GM_primary/OFFSET(Data!$D$7,COLUMN(G19)-2,0))*(SQRT(2*Data!$D22/(OFFSET(Data!$D$7,COLUMN(G19)-2,0)+Data!$D22))-1))^2+OFFSET(Data!$J$7,COLUMN(G19)-2,0)^2)-OFFSET(Data!$K$7,COLUMN(G19)-2,0)
+
SQRT((SQRT(GM_primary/Data!$D22)*(1-SQRT(2*OFFSET(Data!$D$7,COLUMN(G19)-2,0)/(OFFSET(Data!$D$7,COLUMN(G19)-2,0)+Data!$D22))))^2+Data!$J22^2)-Data!$K22)/1000</f>
        <v>#DIV/0!</v>
      </c>
      <c r="H19" s="39" t="e">
        <f ca="1">(
SQRT((SQRT(GM_primary/OFFSET(Data!$D$7,COLUMN(H19)-2,0))*(SQRT(2*Data!$D22/(OFFSET(Data!$D$7,COLUMN(H19)-2,0)+Data!$D22))-1))^2+OFFSET(Data!$J$7,COLUMN(H19)-2,0)^2)-OFFSET(Data!$K$7,COLUMN(H19)-2,0)
+
SQRT((SQRT(GM_primary/Data!$D22)*(1-SQRT(2*OFFSET(Data!$D$7,COLUMN(H19)-2,0)/(OFFSET(Data!$D$7,COLUMN(H19)-2,0)+Data!$D22))))^2+Data!$J22^2)-Data!$K22)/1000</f>
        <v>#DIV/0!</v>
      </c>
      <c r="I19" s="39" t="e">
        <f ca="1">(
SQRT((SQRT(GM_primary/OFFSET(Data!$D$7,COLUMN(I19)-2,0))*(SQRT(2*Data!$D22/(OFFSET(Data!$D$7,COLUMN(I19)-2,0)+Data!$D22))-1))^2+OFFSET(Data!$J$7,COLUMN(I19)-2,0)^2)-OFFSET(Data!$K$7,COLUMN(I19)-2,0)
+
SQRT((SQRT(GM_primary/Data!$D22)*(1-SQRT(2*OFFSET(Data!$D$7,COLUMN(I19)-2,0)/(OFFSET(Data!$D$7,COLUMN(I19)-2,0)+Data!$D22))))^2+Data!$J22^2)-Data!$K22)/1000</f>
        <v>#DIV/0!</v>
      </c>
      <c r="J19" s="39" t="e">
        <f ca="1">(
SQRT((SQRT(GM_primary/OFFSET(Data!$D$7,COLUMN(J19)-2,0))*(SQRT(2*Data!$D22/(OFFSET(Data!$D$7,COLUMN(J19)-2,0)+Data!$D22))-1))^2+OFFSET(Data!$J$7,COLUMN(J19)-2,0)^2)-OFFSET(Data!$K$7,COLUMN(J19)-2,0)
+
SQRT((SQRT(GM_primary/Data!$D22)*(1-SQRT(2*OFFSET(Data!$D$7,COLUMN(J19)-2,0)/(OFFSET(Data!$D$7,COLUMN(J19)-2,0)+Data!$D22))))^2+Data!$J22^2)-Data!$K22)/1000</f>
        <v>#DIV/0!</v>
      </c>
      <c r="K19" s="39" t="e">
        <f ca="1">(
SQRT((SQRT(GM_primary/OFFSET(Data!$D$7,COLUMN(K19)-2,0))*(SQRT(2*Data!$D22/(OFFSET(Data!$D$7,COLUMN(K19)-2,0)+Data!$D22))-1))^2+OFFSET(Data!$J$7,COLUMN(K19)-2,0)^2)-OFFSET(Data!$K$7,COLUMN(K19)-2,0)
+
SQRT((SQRT(GM_primary/Data!$D22)*(1-SQRT(2*OFFSET(Data!$D$7,COLUMN(K19)-2,0)/(OFFSET(Data!$D$7,COLUMN(K19)-2,0)+Data!$D22))))^2+Data!$J22^2)-Data!$K22)/1000</f>
        <v>#DIV/0!</v>
      </c>
      <c r="L19" s="39" t="e">
        <f ca="1">(
SQRT((SQRT(GM_primary/OFFSET(Data!$D$7,COLUMN(L19)-2,0))*(SQRT(2*Data!$D22/(OFFSET(Data!$D$7,COLUMN(L19)-2,0)+Data!$D22))-1))^2+OFFSET(Data!$J$7,COLUMN(L19)-2,0)^2)-OFFSET(Data!$K$7,COLUMN(L19)-2,0)
+
SQRT((SQRT(GM_primary/Data!$D22)*(1-SQRT(2*OFFSET(Data!$D$7,COLUMN(L19)-2,0)/(OFFSET(Data!$D$7,COLUMN(L19)-2,0)+Data!$D22))))^2+Data!$J22^2)-Data!$K22)/1000</f>
        <v>#DIV/0!</v>
      </c>
      <c r="M19" s="39" t="e">
        <f ca="1">(
SQRT((SQRT(GM_primary/OFFSET(Data!$D$7,COLUMN(M19)-2,0))*(SQRT(2*Data!$D22/(OFFSET(Data!$D$7,COLUMN(M19)-2,0)+Data!$D22))-1))^2+OFFSET(Data!$J$7,COLUMN(M19)-2,0)^2)-OFFSET(Data!$K$7,COLUMN(M19)-2,0)
+
SQRT((SQRT(GM_primary/Data!$D22)*(1-SQRT(2*OFFSET(Data!$D$7,COLUMN(M19)-2,0)/(OFFSET(Data!$D$7,COLUMN(M19)-2,0)+Data!$D22))))^2+Data!$J22^2)-Data!$K22)/1000</f>
        <v>#DIV/0!</v>
      </c>
      <c r="N19" s="39" t="e">
        <f ca="1">(
SQRT((SQRT(GM_primary/OFFSET(Data!$D$7,COLUMN(N19)-2,0))*(SQRT(2*Data!$D22/(OFFSET(Data!$D$7,COLUMN(N19)-2,0)+Data!$D22))-1))^2+OFFSET(Data!$J$7,COLUMN(N19)-2,0)^2)-OFFSET(Data!$K$7,COLUMN(N19)-2,0)
+
SQRT((SQRT(GM_primary/Data!$D22)*(1-SQRT(2*OFFSET(Data!$D$7,COLUMN(N19)-2,0)/(OFFSET(Data!$D$7,COLUMN(N19)-2,0)+Data!$D22))))^2+Data!$J22^2)-Data!$K22)/1000</f>
        <v>#DIV/0!</v>
      </c>
      <c r="O19" s="39" t="e">
        <f ca="1">(
SQRT((SQRT(GM_primary/OFFSET(Data!$D$7,COLUMN(O19)-2,0))*(SQRT(2*Data!$D22/(OFFSET(Data!$D$7,COLUMN(O19)-2,0)+Data!$D22))-1))^2+OFFSET(Data!$J$7,COLUMN(O19)-2,0)^2)-OFFSET(Data!$K$7,COLUMN(O19)-2,0)
+
SQRT((SQRT(GM_primary/Data!$D22)*(1-SQRT(2*OFFSET(Data!$D$7,COLUMN(O19)-2,0)/(OFFSET(Data!$D$7,COLUMN(O19)-2,0)+Data!$D22))))^2+Data!$J22^2)-Data!$K22)/1000</f>
        <v>#DIV/0!</v>
      </c>
      <c r="P19" s="39" t="e">
        <f ca="1">(
SQRT((SQRT(GM_primary/OFFSET(Data!$D$7,COLUMN(P19)-2,0))*(SQRT(2*Data!$D22/(OFFSET(Data!$D$7,COLUMN(P19)-2,0)+Data!$D22))-1))^2+OFFSET(Data!$J$7,COLUMN(P19)-2,0)^2)-OFFSET(Data!$K$7,COLUMN(P19)-2,0)
+
SQRT((SQRT(GM_primary/Data!$D22)*(1-SQRT(2*OFFSET(Data!$D$7,COLUMN(P19)-2,0)/(OFFSET(Data!$D$7,COLUMN(P19)-2,0)+Data!$D22))))^2+Data!$J22^2)-Data!$K22)/1000</f>
        <v>#DIV/0!</v>
      </c>
      <c r="Q19" s="37" t="e">
        <f>(SQRT(G*Data!$B22/Data!$C22))/1000</f>
        <v>#DIV/0!</v>
      </c>
      <c r="R19" s="40" t="e">
        <f ca="1">Q20+orbit16+orbit17</f>
        <v>#DIV/0!</v>
      </c>
      <c r="S19" s="40" t="e">
        <f ca="1">Q21+orbit16+orbit18</f>
        <v>#DIV/0!</v>
      </c>
      <c r="T19" s="40" t="e">
        <f ca="1">Q22+orbit16+orbit19</f>
        <v>#DIV/0!</v>
      </c>
      <c r="U19" s="40" t="e">
        <f ca="1">Q23+orbit16+orbit20</f>
        <v>#DIV/0!</v>
      </c>
      <c r="V19" s="40" t="e">
        <f ca="1">Q24+orbit16+orbit21</f>
        <v>#DIV/0!</v>
      </c>
      <c r="W19" s="40" t="e">
        <f ca="1">Q25+orbit16+orbit22</f>
        <v>#DIV/0!</v>
      </c>
      <c r="X19" s="40" t="e">
        <f ca="1">Q26+orbit16+orbit23</f>
        <v>#DIV/0!</v>
      </c>
      <c r="Y19" s="40" t="e">
        <f ca="1">Q27+orbit16+orbit24</f>
        <v>#DIV/0!</v>
      </c>
      <c r="Z19" s="40" t="e">
        <f ca="1">Q28+orbit16+orbit25</f>
        <v>#DIV/0!</v>
      </c>
      <c r="AA19" s="40" t="e">
        <f ca="1">Q29+orbit16+orbit26</f>
        <v>#DIV/0!</v>
      </c>
      <c r="AB19" s="40" t="e">
        <f ca="1">Q30+orbit16+orbit27</f>
        <v>#DIV/0!</v>
      </c>
      <c r="AC19" s="40" t="e">
        <f ca="1">Q31+orbit16+orbit28</f>
        <v>#DIV/0!</v>
      </c>
      <c r="AD19" s="40" t="e">
        <f ca="1">Q32+orbit16+orbit29</f>
        <v>#DIV/0!</v>
      </c>
      <c r="AE19" s="40" t="e">
        <f ca="1">Q33+orbit16+orbit30</f>
        <v>#DIV/0!</v>
      </c>
      <c r="AF19" s="17" t="str">
        <f>Data!A22</f>
        <v>S16</v>
      </c>
    </row>
    <row r="20" spans="1:32" x14ac:dyDescent="0.35">
      <c r="A20" s="5" t="str">
        <f>Data!A23</f>
        <v>S17</v>
      </c>
      <c r="B20" s="41" t="e">
        <f ca="1">(
SQRT((SQRT(GM_primary/OFFSET(Data!$D$7,COLUMN(B20)-2,0))*(SQRT(2*Data!$D23/(OFFSET(Data!$D$7,COLUMN(B20)-2,0)+Data!$D23))-1))^2+OFFSET(Data!$J$7,COLUMN(B20)-2,0)^2)-OFFSET(Data!$K$7,COLUMN(B20)-2,0)
+
SQRT((SQRT(GM_primary/Data!$D23)*(1-SQRT(2*OFFSET(Data!$D$7,COLUMN(B20)-2,0)/(OFFSET(Data!$D$7,COLUMN(B20)-2,0)+Data!$D23))))^2+Data!$J23^2)-Data!$K23)/1000</f>
        <v>#DIV/0!</v>
      </c>
      <c r="C20" s="41" t="e">
        <f ca="1">(
SQRT((SQRT(GM_primary/OFFSET(Data!$D$7,COLUMN(C20)-2,0))*(SQRT(2*Data!$D23/(OFFSET(Data!$D$7,COLUMN(C20)-2,0)+Data!$D23))-1))^2+OFFSET(Data!$J$7,COLUMN(C20)-2,0)^2)-OFFSET(Data!$K$7,COLUMN(C20)-2,0)
+
SQRT((SQRT(GM_primary/Data!$D23)*(1-SQRT(2*OFFSET(Data!$D$7,COLUMN(C20)-2,0)/(OFFSET(Data!$D$7,COLUMN(C20)-2,0)+Data!$D23))))^2+Data!$J23^2)-Data!$K23)/1000</f>
        <v>#DIV/0!</v>
      </c>
      <c r="D20" s="41" t="e">
        <f ca="1">(
SQRT((SQRT(GM_primary/OFFSET(Data!$D$7,COLUMN(D20)-2,0))*(SQRT(2*Data!$D23/(OFFSET(Data!$D$7,COLUMN(D20)-2,0)+Data!$D23))-1))^2+OFFSET(Data!$J$7,COLUMN(D20)-2,0)^2)-OFFSET(Data!$K$7,COLUMN(D20)-2,0)
+
SQRT((SQRT(GM_primary/Data!$D23)*(1-SQRT(2*OFFSET(Data!$D$7,COLUMN(D20)-2,0)/(OFFSET(Data!$D$7,COLUMN(D20)-2,0)+Data!$D23))))^2+Data!$J23^2)-Data!$K23)/1000</f>
        <v>#DIV/0!</v>
      </c>
      <c r="E20" s="41" t="e">
        <f ca="1">(
SQRT((SQRT(GM_primary/OFFSET(Data!$D$7,COLUMN(E20)-2,0))*(SQRT(2*Data!$D23/(OFFSET(Data!$D$7,COLUMN(E20)-2,0)+Data!$D23))-1))^2+OFFSET(Data!$J$7,COLUMN(E20)-2,0)^2)-OFFSET(Data!$K$7,COLUMN(E20)-2,0)
+
SQRT((SQRT(GM_primary/Data!$D23)*(1-SQRT(2*OFFSET(Data!$D$7,COLUMN(E20)-2,0)/(OFFSET(Data!$D$7,COLUMN(E20)-2,0)+Data!$D23))))^2+Data!$J23^2)-Data!$K23)/1000</f>
        <v>#DIV/0!</v>
      </c>
      <c r="F20" s="41" t="e">
        <f ca="1">(
SQRT((SQRT(GM_primary/OFFSET(Data!$D$7,COLUMN(F20)-2,0))*(SQRT(2*Data!$D23/(OFFSET(Data!$D$7,COLUMN(F20)-2,0)+Data!$D23))-1))^2+OFFSET(Data!$J$7,COLUMN(F20)-2,0)^2)-OFFSET(Data!$K$7,COLUMN(F20)-2,0)
+
SQRT((SQRT(GM_primary/Data!$D23)*(1-SQRT(2*OFFSET(Data!$D$7,COLUMN(F20)-2,0)/(OFFSET(Data!$D$7,COLUMN(F20)-2,0)+Data!$D23))))^2+Data!$J23^2)-Data!$K23)/1000</f>
        <v>#DIV/0!</v>
      </c>
      <c r="G20" s="41" t="e">
        <f ca="1">(
SQRT((SQRT(GM_primary/OFFSET(Data!$D$7,COLUMN(G20)-2,0))*(SQRT(2*Data!$D23/(OFFSET(Data!$D$7,COLUMN(G20)-2,0)+Data!$D23))-1))^2+OFFSET(Data!$J$7,COLUMN(G20)-2,0)^2)-OFFSET(Data!$K$7,COLUMN(G20)-2,0)
+
SQRT((SQRT(GM_primary/Data!$D23)*(1-SQRT(2*OFFSET(Data!$D$7,COLUMN(G20)-2,0)/(OFFSET(Data!$D$7,COLUMN(G20)-2,0)+Data!$D23))))^2+Data!$J23^2)-Data!$K23)/1000</f>
        <v>#DIV/0!</v>
      </c>
      <c r="H20" s="41" t="e">
        <f ca="1">(
SQRT((SQRT(GM_primary/OFFSET(Data!$D$7,COLUMN(H20)-2,0))*(SQRT(2*Data!$D23/(OFFSET(Data!$D$7,COLUMN(H20)-2,0)+Data!$D23))-1))^2+OFFSET(Data!$J$7,COLUMN(H20)-2,0)^2)-OFFSET(Data!$K$7,COLUMN(H20)-2,0)
+
SQRT((SQRT(GM_primary/Data!$D23)*(1-SQRT(2*OFFSET(Data!$D$7,COLUMN(H20)-2,0)/(OFFSET(Data!$D$7,COLUMN(H20)-2,0)+Data!$D23))))^2+Data!$J23^2)-Data!$K23)/1000</f>
        <v>#DIV/0!</v>
      </c>
      <c r="I20" s="41" t="e">
        <f ca="1">(
SQRT((SQRT(GM_primary/OFFSET(Data!$D$7,COLUMN(I20)-2,0))*(SQRT(2*Data!$D23/(OFFSET(Data!$D$7,COLUMN(I20)-2,0)+Data!$D23))-1))^2+OFFSET(Data!$J$7,COLUMN(I20)-2,0)^2)-OFFSET(Data!$K$7,COLUMN(I20)-2,0)
+
SQRT((SQRT(GM_primary/Data!$D23)*(1-SQRT(2*OFFSET(Data!$D$7,COLUMN(I20)-2,0)/(OFFSET(Data!$D$7,COLUMN(I20)-2,0)+Data!$D23))))^2+Data!$J23^2)-Data!$K23)/1000</f>
        <v>#DIV/0!</v>
      </c>
      <c r="J20" s="41" t="e">
        <f ca="1">(
SQRT((SQRT(GM_primary/OFFSET(Data!$D$7,COLUMN(J20)-2,0))*(SQRT(2*Data!$D23/(OFFSET(Data!$D$7,COLUMN(J20)-2,0)+Data!$D23))-1))^2+OFFSET(Data!$J$7,COLUMN(J20)-2,0)^2)-OFFSET(Data!$K$7,COLUMN(J20)-2,0)
+
SQRT((SQRT(GM_primary/Data!$D23)*(1-SQRT(2*OFFSET(Data!$D$7,COLUMN(J20)-2,0)/(OFFSET(Data!$D$7,COLUMN(J20)-2,0)+Data!$D23))))^2+Data!$J23^2)-Data!$K23)/1000</f>
        <v>#DIV/0!</v>
      </c>
      <c r="K20" s="41" t="e">
        <f ca="1">(
SQRT((SQRT(GM_primary/OFFSET(Data!$D$7,COLUMN(K20)-2,0))*(SQRT(2*Data!$D23/(OFFSET(Data!$D$7,COLUMN(K20)-2,0)+Data!$D23))-1))^2+OFFSET(Data!$J$7,COLUMN(K20)-2,0)^2)-OFFSET(Data!$K$7,COLUMN(K20)-2,0)
+
SQRT((SQRT(GM_primary/Data!$D23)*(1-SQRT(2*OFFSET(Data!$D$7,COLUMN(K20)-2,0)/(OFFSET(Data!$D$7,COLUMN(K20)-2,0)+Data!$D23))))^2+Data!$J23^2)-Data!$K23)/1000</f>
        <v>#DIV/0!</v>
      </c>
      <c r="L20" s="41" t="e">
        <f ca="1">(
SQRT((SQRT(GM_primary/OFFSET(Data!$D$7,COLUMN(L20)-2,0))*(SQRT(2*Data!$D23/(OFFSET(Data!$D$7,COLUMN(L20)-2,0)+Data!$D23))-1))^2+OFFSET(Data!$J$7,COLUMN(L20)-2,0)^2)-OFFSET(Data!$K$7,COLUMN(L20)-2,0)
+
SQRT((SQRT(GM_primary/Data!$D23)*(1-SQRT(2*OFFSET(Data!$D$7,COLUMN(L20)-2,0)/(OFFSET(Data!$D$7,COLUMN(L20)-2,0)+Data!$D23))))^2+Data!$J23^2)-Data!$K23)/1000</f>
        <v>#DIV/0!</v>
      </c>
      <c r="M20" s="41" t="e">
        <f ca="1">(
SQRT((SQRT(GM_primary/OFFSET(Data!$D$7,COLUMN(M20)-2,0))*(SQRT(2*Data!$D23/(OFFSET(Data!$D$7,COLUMN(M20)-2,0)+Data!$D23))-1))^2+OFFSET(Data!$J$7,COLUMN(M20)-2,0)^2)-OFFSET(Data!$K$7,COLUMN(M20)-2,0)
+
SQRT((SQRT(GM_primary/Data!$D23)*(1-SQRT(2*OFFSET(Data!$D$7,COLUMN(M20)-2,0)/(OFFSET(Data!$D$7,COLUMN(M20)-2,0)+Data!$D23))))^2+Data!$J23^2)-Data!$K23)/1000</f>
        <v>#DIV/0!</v>
      </c>
      <c r="N20" s="41" t="e">
        <f ca="1">(
SQRT((SQRT(GM_primary/OFFSET(Data!$D$7,COLUMN(N20)-2,0))*(SQRT(2*Data!$D23/(OFFSET(Data!$D$7,COLUMN(N20)-2,0)+Data!$D23))-1))^2+OFFSET(Data!$J$7,COLUMN(N20)-2,0)^2)-OFFSET(Data!$K$7,COLUMN(N20)-2,0)
+
SQRT((SQRT(GM_primary/Data!$D23)*(1-SQRT(2*OFFSET(Data!$D$7,COLUMN(N20)-2,0)/(OFFSET(Data!$D$7,COLUMN(N20)-2,0)+Data!$D23))))^2+Data!$J23^2)-Data!$K23)/1000</f>
        <v>#DIV/0!</v>
      </c>
      <c r="O20" s="41" t="e">
        <f ca="1">(
SQRT((SQRT(GM_primary/OFFSET(Data!$D$7,COLUMN(O20)-2,0))*(SQRT(2*Data!$D23/(OFFSET(Data!$D$7,COLUMN(O20)-2,0)+Data!$D23))-1))^2+OFFSET(Data!$J$7,COLUMN(O20)-2,0)^2)-OFFSET(Data!$K$7,COLUMN(O20)-2,0)
+
SQRT((SQRT(GM_primary/Data!$D23)*(1-SQRT(2*OFFSET(Data!$D$7,COLUMN(O20)-2,0)/(OFFSET(Data!$D$7,COLUMN(O20)-2,0)+Data!$D23))))^2+Data!$J23^2)-Data!$K23)/1000</f>
        <v>#DIV/0!</v>
      </c>
      <c r="P20" s="41" t="e">
        <f ca="1">(
SQRT((SQRT(GM_primary/OFFSET(Data!$D$7,COLUMN(P20)-2,0))*(SQRT(2*Data!$D23/(OFFSET(Data!$D$7,COLUMN(P20)-2,0)+Data!$D23))-1))^2+OFFSET(Data!$J$7,COLUMN(P20)-2,0)^2)-OFFSET(Data!$K$7,COLUMN(P20)-2,0)
+
SQRT((SQRT(GM_primary/Data!$D23)*(1-SQRT(2*OFFSET(Data!$D$7,COLUMN(P20)-2,0)/(OFFSET(Data!$D$7,COLUMN(P20)-2,0)+Data!$D23))))^2+Data!$J23^2)-Data!$K23)/1000</f>
        <v>#DIV/0!</v>
      </c>
      <c r="Q20" s="41" t="e">
        <f ca="1">(
SQRT((SQRT(GM_primary/OFFSET(Data!$D$7,COLUMN(Q20)-2,0))*(SQRT(2*Data!$D23/(OFFSET(Data!$D$7,COLUMN(Q20)-2,0)+Data!$D23))-1))^2+OFFSET(Data!$J$7,COLUMN(Q20)-2,0)^2)-OFFSET(Data!$K$7,COLUMN(Q20)-2,0)
+
SQRT((SQRT(GM_primary/Data!$D23)*(1-SQRT(2*OFFSET(Data!$D$7,COLUMN(Q20)-2,0)/(OFFSET(Data!$D$7,COLUMN(Q20)-2,0)+Data!$D23))))^2+Data!$J23^2)-Data!$K23)/1000</f>
        <v>#DIV/0!</v>
      </c>
      <c r="R20" s="37" t="e">
        <f>(SQRT(G*Data!$B23/Data!$C23))/1000</f>
        <v>#DIV/0!</v>
      </c>
      <c r="S20" s="38" t="e">
        <f ca="1">R21+orbit17+orbit18</f>
        <v>#DIV/0!</v>
      </c>
      <c r="T20" s="38" t="e">
        <f ca="1">R22+orbit17+orbit19</f>
        <v>#DIV/0!</v>
      </c>
      <c r="U20" s="38" t="e">
        <f ca="1">R23+orbit17+orbit20</f>
        <v>#DIV/0!</v>
      </c>
      <c r="V20" s="38" t="e">
        <f ca="1">R24+orbit17+orbit21</f>
        <v>#DIV/0!</v>
      </c>
      <c r="W20" s="38" t="e">
        <f ca="1">R25+orbit17+orbit22</f>
        <v>#DIV/0!</v>
      </c>
      <c r="X20" s="38" t="e">
        <f ca="1">R26+orbit17+orbit23</f>
        <v>#DIV/0!</v>
      </c>
      <c r="Y20" s="38" t="e">
        <f ca="1">R27+orbit17+orbit24</f>
        <v>#DIV/0!</v>
      </c>
      <c r="Z20" s="38" t="e">
        <f ca="1">R28+orbit17+orbit25</f>
        <v>#DIV/0!</v>
      </c>
      <c r="AA20" s="38" t="e">
        <f ca="1">R29+orbit17+orbit26</f>
        <v>#DIV/0!</v>
      </c>
      <c r="AB20" s="38" t="e">
        <f ca="1">R30+orbit17+orbit27</f>
        <v>#DIV/0!</v>
      </c>
      <c r="AC20" s="38" t="e">
        <f ca="1">R31+orbit17+orbit28</f>
        <v>#DIV/0!</v>
      </c>
      <c r="AD20" s="38" t="e">
        <f ca="1">R32+orbit17+orbit29</f>
        <v>#DIV/0!</v>
      </c>
      <c r="AE20" s="38" t="e">
        <f ca="1">R33+orbit17+orbit30</f>
        <v>#DIV/0!</v>
      </c>
      <c r="AF20" s="17" t="str">
        <f>Data!A23</f>
        <v>S17</v>
      </c>
    </row>
    <row r="21" spans="1:32" x14ac:dyDescent="0.35">
      <c r="A21" s="5" t="str">
        <f>Data!A24</f>
        <v>S18</v>
      </c>
      <c r="B21" s="39" t="e">
        <f ca="1">(
SQRT((SQRT(GM_primary/OFFSET(Data!$D$7,COLUMN(B21)-2,0))*(SQRT(2*Data!$D24/(OFFSET(Data!$D$7,COLUMN(B21)-2,0)+Data!$D24))-1))^2+OFFSET(Data!$J$7,COLUMN(B21)-2,0)^2)-OFFSET(Data!$K$7,COLUMN(B21)-2,0)
+
SQRT((SQRT(GM_primary/Data!$D24)*(1-SQRT(2*OFFSET(Data!$D$7,COLUMN(B21)-2,0)/(OFFSET(Data!$D$7,COLUMN(B21)-2,0)+Data!$D24))))^2+Data!$J24^2)-Data!$K24)/1000</f>
        <v>#DIV/0!</v>
      </c>
      <c r="C21" s="39" t="e">
        <f ca="1">(
SQRT((SQRT(GM_primary/OFFSET(Data!$D$7,COLUMN(C21)-2,0))*(SQRT(2*Data!$D24/(OFFSET(Data!$D$7,COLUMN(C21)-2,0)+Data!$D24))-1))^2+OFFSET(Data!$J$7,COLUMN(C21)-2,0)^2)-OFFSET(Data!$K$7,COLUMN(C21)-2,0)
+
SQRT((SQRT(GM_primary/Data!$D24)*(1-SQRT(2*OFFSET(Data!$D$7,COLUMN(C21)-2,0)/(OFFSET(Data!$D$7,COLUMN(C21)-2,0)+Data!$D24))))^2+Data!$J24^2)-Data!$K24)/1000</f>
        <v>#DIV/0!</v>
      </c>
      <c r="D21" s="39" t="e">
        <f ca="1">(
SQRT((SQRT(GM_primary/OFFSET(Data!$D$7,COLUMN(D21)-2,0))*(SQRT(2*Data!$D24/(OFFSET(Data!$D$7,COLUMN(D21)-2,0)+Data!$D24))-1))^2+OFFSET(Data!$J$7,COLUMN(D21)-2,0)^2)-OFFSET(Data!$K$7,COLUMN(D21)-2,0)
+
SQRT((SQRT(GM_primary/Data!$D24)*(1-SQRT(2*OFFSET(Data!$D$7,COLUMN(D21)-2,0)/(OFFSET(Data!$D$7,COLUMN(D21)-2,0)+Data!$D24))))^2+Data!$J24^2)-Data!$K24)/1000</f>
        <v>#DIV/0!</v>
      </c>
      <c r="E21" s="39" t="e">
        <f ca="1">(
SQRT((SQRT(GM_primary/OFFSET(Data!$D$7,COLUMN(E21)-2,0))*(SQRT(2*Data!$D24/(OFFSET(Data!$D$7,COLUMN(E21)-2,0)+Data!$D24))-1))^2+OFFSET(Data!$J$7,COLUMN(E21)-2,0)^2)-OFFSET(Data!$K$7,COLUMN(E21)-2,0)
+
SQRT((SQRT(GM_primary/Data!$D24)*(1-SQRT(2*OFFSET(Data!$D$7,COLUMN(E21)-2,0)/(OFFSET(Data!$D$7,COLUMN(E21)-2,0)+Data!$D24))))^2+Data!$J24^2)-Data!$K24)/1000</f>
        <v>#DIV/0!</v>
      </c>
      <c r="F21" s="39" t="e">
        <f ca="1">(
SQRT((SQRT(GM_primary/OFFSET(Data!$D$7,COLUMN(F21)-2,0))*(SQRT(2*Data!$D24/(OFFSET(Data!$D$7,COLUMN(F21)-2,0)+Data!$D24))-1))^2+OFFSET(Data!$J$7,COLUMN(F21)-2,0)^2)-OFFSET(Data!$K$7,COLUMN(F21)-2,0)
+
SQRT((SQRT(GM_primary/Data!$D24)*(1-SQRT(2*OFFSET(Data!$D$7,COLUMN(F21)-2,0)/(OFFSET(Data!$D$7,COLUMN(F21)-2,0)+Data!$D24))))^2+Data!$J24^2)-Data!$K24)/1000</f>
        <v>#DIV/0!</v>
      </c>
      <c r="G21" s="39" t="e">
        <f ca="1">(
SQRT((SQRT(GM_primary/OFFSET(Data!$D$7,COLUMN(G21)-2,0))*(SQRT(2*Data!$D24/(OFFSET(Data!$D$7,COLUMN(G21)-2,0)+Data!$D24))-1))^2+OFFSET(Data!$J$7,COLUMN(G21)-2,0)^2)-OFFSET(Data!$K$7,COLUMN(G21)-2,0)
+
SQRT((SQRT(GM_primary/Data!$D24)*(1-SQRT(2*OFFSET(Data!$D$7,COLUMN(G21)-2,0)/(OFFSET(Data!$D$7,COLUMN(G21)-2,0)+Data!$D24))))^2+Data!$J24^2)-Data!$K24)/1000</f>
        <v>#DIV/0!</v>
      </c>
      <c r="H21" s="39" t="e">
        <f ca="1">(
SQRT((SQRT(GM_primary/OFFSET(Data!$D$7,COLUMN(H21)-2,0))*(SQRT(2*Data!$D24/(OFFSET(Data!$D$7,COLUMN(H21)-2,0)+Data!$D24))-1))^2+OFFSET(Data!$J$7,COLUMN(H21)-2,0)^2)-OFFSET(Data!$K$7,COLUMN(H21)-2,0)
+
SQRT((SQRT(GM_primary/Data!$D24)*(1-SQRT(2*OFFSET(Data!$D$7,COLUMN(H21)-2,0)/(OFFSET(Data!$D$7,COLUMN(H21)-2,0)+Data!$D24))))^2+Data!$J24^2)-Data!$K24)/1000</f>
        <v>#DIV/0!</v>
      </c>
      <c r="I21" s="39" t="e">
        <f ca="1">(
SQRT((SQRT(GM_primary/OFFSET(Data!$D$7,COLUMN(I21)-2,0))*(SQRT(2*Data!$D24/(OFFSET(Data!$D$7,COLUMN(I21)-2,0)+Data!$D24))-1))^2+OFFSET(Data!$J$7,COLUMN(I21)-2,0)^2)-OFFSET(Data!$K$7,COLUMN(I21)-2,0)
+
SQRT((SQRT(GM_primary/Data!$D24)*(1-SQRT(2*OFFSET(Data!$D$7,COLUMN(I21)-2,0)/(OFFSET(Data!$D$7,COLUMN(I21)-2,0)+Data!$D24))))^2+Data!$J24^2)-Data!$K24)/1000</f>
        <v>#DIV/0!</v>
      </c>
      <c r="J21" s="39" t="e">
        <f ca="1">(
SQRT((SQRT(GM_primary/OFFSET(Data!$D$7,COLUMN(J21)-2,0))*(SQRT(2*Data!$D24/(OFFSET(Data!$D$7,COLUMN(J21)-2,0)+Data!$D24))-1))^2+OFFSET(Data!$J$7,COLUMN(J21)-2,0)^2)-OFFSET(Data!$K$7,COLUMN(J21)-2,0)
+
SQRT((SQRT(GM_primary/Data!$D24)*(1-SQRT(2*OFFSET(Data!$D$7,COLUMN(J21)-2,0)/(OFFSET(Data!$D$7,COLUMN(J21)-2,0)+Data!$D24))))^2+Data!$J24^2)-Data!$K24)/1000</f>
        <v>#DIV/0!</v>
      </c>
      <c r="K21" s="39" t="e">
        <f ca="1">(
SQRT((SQRT(GM_primary/OFFSET(Data!$D$7,COLUMN(K21)-2,0))*(SQRT(2*Data!$D24/(OFFSET(Data!$D$7,COLUMN(K21)-2,0)+Data!$D24))-1))^2+OFFSET(Data!$J$7,COLUMN(K21)-2,0)^2)-OFFSET(Data!$K$7,COLUMN(K21)-2,0)
+
SQRT((SQRT(GM_primary/Data!$D24)*(1-SQRT(2*OFFSET(Data!$D$7,COLUMN(K21)-2,0)/(OFFSET(Data!$D$7,COLUMN(K21)-2,0)+Data!$D24))))^2+Data!$J24^2)-Data!$K24)/1000</f>
        <v>#DIV/0!</v>
      </c>
      <c r="L21" s="39" t="e">
        <f ca="1">(
SQRT((SQRT(GM_primary/OFFSET(Data!$D$7,COLUMN(L21)-2,0))*(SQRT(2*Data!$D24/(OFFSET(Data!$D$7,COLUMN(L21)-2,0)+Data!$D24))-1))^2+OFFSET(Data!$J$7,COLUMN(L21)-2,0)^2)-OFFSET(Data!$K$7,COLUMN(L21)-2,0)
+
SQRT((SQRT(GM_primary/Data!$D24)*(1-SQRT(2*OFFSET(Data!$D$7,COLUMN(L21)-2,0)/(OFFSET(Data!$D$7,COLUMN(L21)-2,0)+Data!$D24))))^2+Data!$J24^2)-Data!$K24)/1000</f>
        <v>#DIV/0!</v>
      </c>
      <c r="M21" s="39" t="e">
        <f ca="1">(
SQRT((SQRT(GM_primary/OFFSET(Data!$D$7,COLUMN(M21)-2,0))*(SQRT(2*Data!$D24/(OFFSET(Data!$D$7,COLUMN(M21)-2,0)+Data!$D24))-1))^2+OFFSET(Data!$J$7,COLUMN(M21)-2,0)^2)-OFFSET(Data!$K$7,COLUMN(M21)-2,0)
+
SQRT((SQRT(GM_primary/Data!$D24)*(1-SQRT(2*OFFSET(Data!$D$7,COLUMN(M21)-2,0)/(OFFSET(Data!$D$7,COLUMN(M21)-2,0)+Data!$D24))))^2+Data!$J24^2)-Data!$K24)/1000</f>
        <v>#DIV/0!</v>
      </c>
      <c r="N21" s="39" t="e">
        <f ca="1">(
SQRT((SQRT(GM_primary/OFFSET(Data!$D$7,COLUMN(N21)-2,0))*(SQRT(2*Data!$D24/(OFFSET(Data!$D$7,COLUMN(N21)-2,0)+Data!$D24))-1))^2+OFFSET(Data!$J$7,COLUMN(N21)-2,0)^2)-OFFSET(Data!$K$7,COLUMN(N21)-2,0)
+
SQRT((SQRT(GM_primary/Data!$D24)*(1-SQRT(2*OFFSET(Data!$D$7,COLUMN(N21)-2,0)/(OFFSET(Data!$D$7,COLUMN(N21)-2,0)+Data!$D24))))^2+Data!$J24^2)-Data!$K24)/1000</f>
        <v>#DIV/0!</v>
      </c>
      <c r="O21" s="39" t="e">
        <f ca="1">(
SQRT((SQRT(GM_primary/OFFSET(Data!$D$7,COLUMN(O21)-2,0))*(SQRT(2*Data!$D24/(OFFSET(Data!$D$7,COLUMN(O21)-2,0)+Data!$D24))-1))^2+OFFSET(Data!$J$7,COLUMN(O21)-2,0)^2)-OFFSET(Data!$K$7,COLUMN(O21)-2,0)
+
SQRT((SQRT(GM_primary/Data!$D24)*(1-SQRT(2*OFFSET(Data!$D$7,COLUMN(O21)-2,0)/(OFFSET(Data!$D$7,COLUMN(O21)-2,0)+Data!$D24))))^2+Data!$J24^2)-Data!$K24)/1000</f>
        <v>#DIV/0!</v>
      </c>
      <c r="P21" s="39" t="e">
        <f ca="1">(
SQRT((SQRT(GM_primary/OFFSET(Data!$D$7,COLUMN(P21)-2,0))*(SQRT(2*Data!$D24/(OFFSET(Data!$D$7,COLUMN(P21)-2,0)+Data!$D24))-1))^2+OFFSET(Data!$J$7,COLUMN(P21)-2,0)^2)-OFFSET(Data!$K$7,COLUMN(P21)-2,0)
+
SQRT((SQRT(GM_primary/Data!$D24)*(1-SQRT(2*OFFSET(Data!$D$7,COLUMN(P21)-2,0)/(OFFSET(Data!$D$7,COLUMN(P21)-2,0)+Data!$D24))))^2+Data!$J24^2)-Data!$K24)/1000</f>
        <v>#DIV/0!</v>
      </c>
      <c r="Q21" s="39" t="e">
        <f ca="1">(
SQRT((SQRT(GM_primary/OFFSET(Data!$D$7,COLUMN(Q21)-2,0))*(SQRT(2*Data!$D24/(OFFSET(Data!$D$7,COLUMN(Q21)-2,0)+Data!$D24))-1))^2+OFFSET(Data!$J$7,COLUMN(Q21)-2,0)^2)-OFFSET(Data!$K$7,COLUMN(Q21)-2,0)
+
SQRT((SQRT(GM_primary/Data!$D24)*(1-SQRT(2*OFFSET(Data!$D$7,COLUMN(Q21)-2,0)/(OFFSET(Data!$D$7,COLUMN(Q21)-2,0)+Data!$D24))))^2+Data!$J24^2)-Data!$K24)/1000</f>
        <v>#DIV/0!</v>
      </c>
      <c r="R21" s="39" t="e">
        <f ca="1">(
SQRT((SQRT(GM_primary/OFFSET(Data!$D$7,COLUMN(R21)-2,0))*(SQRT(2*Data!$D24/(OFFSET(Data!$D$7,COLUMN(R21)-2,0)+Data!$D24))-1))^2+OFFSET(Data!$J$7,COLUMN(R21)-2,0)^2)-OFFSET(Data!$K$7,COLUMN(R21)-2,0)
+
SQRT((SQRT(GM_primary/Data!$D24)*(1-SQRT(2*OFFSET(Data!$D$7,COLUMN(R21)-2,0)/(OFFSET(Data!$D$7,COLUMN(R21)-2,0)+Data!$D24))))^2+Data!$J24^2)-Data!$K24)/1000</f>
        <v>#DIV/0!</v>
      </c>
      <c r="S21" s="37" t="e">
        <f>(SQRT(G*Data!$B24/Data!$C24))/1000</f>
        <v>#DIV/0!</v>
      </c>
      <c r="T21" s="40" t="e">
        <f ca="1">S22+orbit18+orbit19</f>
        <v>#DIV/0!</v>
      </c>
      <c r="U21" s="40" t="e">
        <f ca="1">S23+orbit18+orbit20</f>
        <v>#DIV/0!</v>
      </c>
      <c r="V21" s="40" t="e">
        <f ca="1">S24+orbit18+orbit21</f>
        <v>#DIV/0!</v>
      </c>
      <c r="W21" s="40" t="e">
        <f ca="1">S25+orbit18+orbit22</f>
        <v>#DIV/0!</v>
      </c>
      <c r="X21" s="40" t="e">
        <f ca="1">S26+orbit18+orbit23</f>
        <v>#DIV/0!</v>
      </c>
      <c r="Y21" s="40" t="e">
        <f ca="1">S27+orbit18+orbit24</f>
        <v>#DIV/0!</v>
      </c>
      <c r="Z21" s="40" t="e">
        <f ca="1">S28+orbit18+orbit25</f>
        <v>#DIV/0!</v>
      </c>
      <c r="AA21" s="40" t="e">
        <f ca="1">S29+orbit18+orbit26</f>
        <v>#DIV/0!</v>
      </c>
      <c r="AB21" s="40" t="e">
        <f ca="1">S30+orbit18+orbit27</f>
        <v>#DIV/0!</v>
      </c>
      <c r="AC21" s="40" t="e">
        <f ca="1">S31+orbit18+orbit28</f>
        <v>#DIV/0!</v>
      </c>
      <c r="AD21" s="40" t="e">
        <f ca="1">S32+orbit18+orbit29</f>
        <v>#DIV/0!</v>
      </c>
      <c r="AE21" s="40" t="e">
        <f ca="1">S33+orbit18+orbit30</f>
        <v>#DIV/0!</v>
      </c>
      <c r="AF21" s="17" t="str">
        <f>Data!A24</f>
        <v>S18</v>
      </c>
    </row>
    <row r="22" spans="1:32" x14ac:dyDescent="0.35">
      <c r="A22" s="5" t="str">
        <f>Data!A25</f>
        <v>S19</v>
      </c>
      <c r="B22" s="41" t="e">
        <f ca="1">(
SQRT((SQRT(GM_primary/OFFSET(Data!$D$7,COLUMN(B22)-2,0))*(SQRT(2*Data!$D25/(OFFSET(Data!$D$7,COLUMN(B22)-2,0)+Data!$D25))-1))^2+OFFSET(Data!$J$7,COLUMN(B22)-2,0)^2)-OFFSET(Data!$K$7,COLUMN(B22)-2,0)
+
SQRT((SQRT(GM_primary/Data!$D25)*(1-SQRT(2*OFFSET(Data!$D$7,COLUMN(B22)-2,0)/(OFFSET(Data!$D$7,COLUMN(B22)-2,0)+Data!$D25))))^2+Data!$J25^2)-Data!$K25)/1000</f>
        <v>#DIV/0!</v>
      </c>
      <c r="C22" s="41" t="e">
        <f ca="1">(
SQRT((SQRT(GM_primary/OFFSET(Data!$D$7,COLUMN(C22)-2,0))*(SQRT(2*Data!$D25/(OFFSET(Data!$D$7,COLUMN(C22)-2,0)+Data!$D25))-1))^2+OFFSET(Data!$J$7,COLUMN(C22)-2,0)^2)-OFFSET(Data!$K$7,COLUMN(C22)-2,0)
+
SQRT((SQRT(GM_primary/Data!$D25)*(1-SQRT(2*OFFSET(Data!$D$7,COLUMN(C22)-2,0)/(OFFSET(Data!$D$7,COLUMN(C22)-2,0)+Data!$D25))))^2+Data!$J25^2)-Data!$K25)/1000</f>
        <v>#DIV/0!</v>
      </c>
      <c r="D22" s="41" t="e">
        <f ca="1">(
SQRT((SQRT(GM_primary/OFFSET(Data!$D$7,COLUMN(D22)-2,0))*(SQRT(2*Data!$D25/(OFFSET(Data!$D$7,COLUMN(D22)-2,0)+Data!$D25))-1))^2+OFFSET(Data!$J$7,COLUMN(D22)-2,0)^2)-OFFSET(Data!$K$7,COLUMN(D22)-2,0)
+
SQRT((SQRT(GM_primary/Data!$D25)*(1-SQRT(2*OFFSET(Data!$D$7,COLUMN(D22)-2,0)/(OFFSET(Data!$D$7,COLUMN(D22)-2,0)+Data!$D25))))^2+Data!$J25^2)-Data!$K25)/1000</f>
        <v>#DIV/0!</v>
      </c>
      <c r="E22" s="41" t="e">
        <f ca="1">(
SQRT((SQRT(GM_primary/OFFSET(Data!$D$7,COLUMN(E22)-2,0))*(SQRT(2*Data!$D25/(OFFSET(Data!$D$7,COLUMN(E22)-2,0)+Data!$D25))-1))^2+OFFSET(Data!$J$7,COLUMN(E22)-2,0)^2)-OFFSET(Data!$K$7,COLUMN(E22)-2,0)
+
SQRT((SQRT(GM_primary/Data!$D25)*(1-SQRT(2*OFFSET(Data!$D$7,COLUMN(E22)-2,0)/(OFFSET(Data!$D$7,COLUMN(E22)-2,0)+Data!$D25))))^2+Data!$J25^2)-Data!$K25)/1000</f>
        <v>#DIV/0!</v>
      </c>
      <c r="F22" s="41" t="e">
        <f ca="1">(
SQRT((SQRT(GM_primary/OFFSET(Data!$D$7,COLUMN(F22)-2,0))*(SQRT(2*Data!$D25/(OFFSET(Data!$D$7,COLUMN(F22)-2,0)+Data!$D25))-1))^2+OFFSET(Data!$J$7,COLUMN(F22)-2,0)^2)-OFFSET(Data!$K$7,COLUMN(F22)-2,0)
+
SQRT((SQRT(GM_primary/Data!$D25)*(1-SQRT(2*OFFSET(Data!$D$7,COLUMN(F22)-2,0)/(OFFSET(Data!$D$7,COLUMN(F22)-2,0)+Data!$D25))))^2+Data!$J25^2)-Data!$K25)/1000</f>
        <v>#DIV/0!</v>
      </c>
      <c r="G22" s="41" t="e">
        <f ca="1">(
SQRT((SQRT(GM_primary/OFFSET(Data!$D$7,COLUMN(G22)-2,0))*(SQRT(2*Data!$D25/(OFFSET(Data!$D$7,COLUMN(G22)-2,0)+Data!$D25))-1))^2+OFFSET(Data!$J$7,COLUMN(G22)-2,0)^2)-OFFSET(Data!$K$7,COLUMN(G22)-2,0)
+
SQRT((SQRT(GM_primary/Data!$D25)*(1-SQRT(2*OFFSET(Data!$D$7,COLUMN(G22)-2,0)/(OFFSET(Data!$D$7,COLUMN(G22)-2,0)+Data!$D25))))^2+Data!$J25^2)-Data!$K25)/1000</f>
        <v>#DIV/0!</v>
      </c>
      <c r="H22" s="41" t="e">
        <f ca="1">(
SQRT((SQRT(GM_primary/OFFSET(Data!$D$7,COLUMN(H22)-2,0))*(SQRT(2*Data!$D25/(OFFSET(Data!$D$7,COLUMN(H22)-2,0)+Data!$D25))-1))^2+OFFSET(Data!$J$7,COLUMN(H22)-2,0)^2)-OFFSET(Data!$K$7,COLUMN(H22)-2,0)
+
SQRT((SQRT(GM_primary/Data!$D25)*(1-SQRT(2*OFFSET(Data!$D$7,COLUMN(H22)-2,0)/(OFFSET(Data!$D$7,COLUMN(H22)-2,0)+Data!$D25))))^2+Data!$J25^2)-Data!$K25)/1000</f>
        <v>#DIV/0!</v>
      </c>
      <c r="I22" s="41" t="e">
        <f ca="1">(
SQRT((SQRT(GM_primary/OFFSET(Data!$D$7,COLUMN(I22)-2,0))*(SQRT(2*Data!$D25/(OFFSET(Data!$D$7,COLUMN(I22)-2,0)+Data!$D25))-1))^2+OFFSET(Data!$J$7,COLUMN(I22)-2,0)^2)-OFFSET(Data!$K$7,COLUMN(I22)-2,0)
+
SQRT((SQRT(GM_primary/Data!$D25)*(1-SQRT(2*OFFSET(Data!$D$7,COLUMN(I22)-2,0)/(OFFSET(Data!$D$7,COLUMN(I22)-2,0)+Data!$D25))))^2+Data!$J25^2)-Data!$K25)/1000</f>
        <v>#DIV/0!</v>
      </c>
      <c r="J22" s="41" t="e">
        <f ca="1">(
SQRT((SQRT(GM_primary/OFFSET(Data!$D$7,COLUMN(J22)-2,0))*(SQRT(2*Data!$D25/(OFFSET(Data!$D$7,COLUMN(J22)-2,0)+Data!$D25))-1))^2+OFFSET(Data!$J$7,COLUMN(J22)-2,0)^2)-OFFSET(Data!$K$7,COLUMN(J22)-2,0)
+
SQRT((SQRT(GM_primary/Data!$D25)*(1-SQRT(2*OFFSET(Data!$D$7,COLUMN(J22)-2,0)/(OFFSET(Data!$D$7,COLUMN(J22)-2,0)+Data!$D25))))^2+Data!$J25^2)-Data!$K25)/1000</f>
        <v>#DIV/0!</v>
      </c>
      <c r="K22" s="41" t="e">
        <f ca="1">(
SQRT((SQRT(GM_primary/OFFSET(Data!$D$7,COLUMN(K22)-2,0))*(SQRT(2*Data!$D25/(OFFSET(Data!$D$7,COLUMN(K22)-2,0)+Data!$D25))-1))^2+OFFSET(Data!$J$7,COLUMN(K22)-2,0)^2)-OFFSET(Data!$K$7,COLUMN(K22)-2,0)
+
SQRT((SQRT(GM_primary/Data!$D25)*(1-SQRT(2*OFFSET(Data!$D$7,COLUMN(K22)-2,0)/(OFFSET(Data!$D$7,COLUMN(K22)-2,0)+Data!$D25))))^2+Data!$J25^2)-Data!$K25)/1000</f>
        <v>#DIV/0!</v>
      </c>
      <c r="L22" s="41" t="e">
        <f ca="1">(
SQRT((SQRT(GM_primary/OFFSET(Data!$D$7,COLUMN(L22)-2,0))*(SQRT(2*Data!$D25/(OFFSET(Data!$D$7,COLUMN(L22)-2,0)+Data!$D25))-1))^2+OFFSET(Data!$J$7,COLUMN(L22)-2,0)^2)-OFFSET(Data!$K$7,COLUMN(L22)-2,0)
+
SQRT((SQRT(GM_primary/Data!$D25)*(1-SQRT(2*OFFSET(Data!$D$7,COLUMN(L22)-2,0)/(OFFSET(Data!$D$7,COLUMN(L22)-2,0)+Data!$D25))))^2+Data!$J25^2)-Data!$K25)/1000</f>
        <v>#DIV/0!</v>
      </c>
      <c r="M22" s="41" t="e">
        <f ca="1">(
SQRT((SQRT(GM_primary/OFFSET(Data!$D$7,COLUMN(M22)-2,0))*(SQRT(2*Data!$D25/(OFFSET(Data!$D$7,COLUMN(M22)-2,0)+Data!$D25))-1))^2+OFFSET(Data!$J$7,COLUMN(M22)-2,0)^2)-OFFSET(Data!$K$7,COLUMN(M22)-2,0)
+
SQRT((SQRT(GM_primary/Data!$D25)*(1-SQRT(2*OFFSET(Data!$D$7,COLUMN(M22)-2,0)/(OFFSET(Data!$D$7,COLUMN(M22)-2,0)+Data!$D25))))^2+Data!$J25^2)-Data!$K25)/1000</f>
        <v>#DIV/0!</v>
      </c>
      <c r="N22" s="41" t="e">
        <f ca="1">(
SQRT((SQRT(GM_primary/OFFSET(Data!$D$7,COLUMN(N22)-2,0))*(SQRT(2*Data!$D25/(OFFSET(Data!$D$7,COLUMN(N22)-2,0)+Data!$D25))-1))^2+OFFSET(Data!$J$7,COLUMN(N22)-2,0)^2)-OFFSET(Data!$K$7,COLUMN(N22)-2,0)
+
SQRT((SQRT(GM_primary/Data!$D25)*(1-SQRT(2*OFFSET(Data!$D$7,COLUMN(N22)-2,0)/(OFFSET(Data!$D$7,COLUMN(N22)-2,0)+Data!$D25))))^2+Data!$J25^2)-Data!$K25)/1000</f>
        <v>#DIV/0!</v>
      </c>
      <c r="O22" s="41" t="e">
        <f ca="1">(
SQRT((SQRT(GM_primary/OFFSET(Data!$D$7,COLUMN(O22)-2,0))*(SQRT(2*Data!$D25/(OFFSET(Data!$D$7,COLUMN(O22)-2,0)+Data!$D25))-1))^2+OFFSET(Data!$J$7,COLUMN(O22)-2,0)^2)-OFFSET(Data!$K$7,COLUMN(O22)-2,0)
+
SQRT((SQRT(GM_primary/Data!$D25)*(1-SQRT(2*OFFSET(Data!$D$7,COLUMN(O22)-2,0)/(OFFSET(Data!$D$7,COLUMN(O22)-2,0)+Data!$D25))))^2+Data!$J25^2)-Data!$K25)/1000</f>
        <v>#DIV/0!</v>
      </c>
      <c r="P22" s="41" t="e">
        <f ca="1">(
SQRT((SQRT(GM_primary/OFFSET(Data!$D$7,COLUMN(P22)-2,0))*(SQRT(2*Data!$D25/(OFFSET(Data!$D$7,COLUMN(P22)-2,0)+Data!$D25))-1))^2+OFFSET(Data!$J$7,COLUMN(P22)-2,0)^2)-OFFSET(Data!$K$7,COLUMN(P22)-2,0)
+
SQRT((SQRT(GM_primary/Data!$D25)*(1-SQRT(2*OFFSET(Data!$D$7,COLUMN(P22)-2,0)/(OFFSET(Data!$D$7,COLUMN(P22)-2,0)+Data!$D25))))^2+Data!$J25^2)-Data!$K25)/1000</f>
        <v>#DIV/0!</v>
      </c>
      <c r="Q22" s="41" t="e">
        <f ca="1">(
SQRT((SQRT(GM_primary/OFFSET(Data!$D$7,COLUMN(Q22)-2,0))*(SQRT(2*Data!$D25/(OFFSET(Data!$D$7,COLUMN(Q22)-2,0)+Data!$D25))-1))^2+OFFSET(Data!$J$7,COLUMN(Q22)-2,0)^2)-OFFSET(Data!$K$7,COLUMN(Q22)-2,0)
+
SQRT((SQRT(GM_primary/Data!$D25)*(1-SQRT(2*OFFSET(Data!$D$7,COLUMN(Q22)-2,0)/(OFFSET(Data!$D$7,COLUMN(Q22)-2,0)+Data!$D25))))^2+Data!$J25^2)-Data!$K25)/1000</f>
        <v>#DIV/0!</v>
      </c>
      <c r="R22" s="41" t="e">
        <f ca="1">(
SQRT((SQRT(GM_primary/OFFSET(Data!$D$7,COLUMN(R22)-2,0))*(SQRT(2*Data!$D25/(OFFSET(Data!$D$7,COLUMN(R22)-2,0)+Data!$D25))-1))^2+OFFSET(Data!$J$7,COLUMN(R22)-2,0)^2)-OFFSET(Data!$K$7,COLUMN(R22)-2,0)
+
SQRT((SQRT(GM_primary/Data!$D25)*(1-SQRT(2*OFFSET(Data!$D$7,COLUMN(R22)-2,0)/(OFFSET(Data!$D$7,COLUMN(R22)-2,0)+Data!$D25))))^2+Data!$J25^2)-Data!$K25)/1000</f>
        <v>#DIV/0!</v>
      </c>
      <c r="S22" s="41" t="e">
        <f ca="1">(
SQRT((SQRT(GM_primary/OFFSET(Data!$D$7,COLUMN(S22)-2,0))*(SQRT(2*Data!$D25/(OFFSET(Data!$D$7,COLUMN(S22)-2,0)+Data!$D25))-1))^2+OFFSET(Data!$J$7,COLUMN(S22)-2,0)^2)-OFFSET(Data!$K$7,COLUMN(S22)-2,0)
+
SQRT((SQRT(GM_primary/Data!$D25)*(1-SQRT(2*OFFSET(Data!$D$7,COLUMN(S22)-2,0)/(OFFSET(Data!$D$7,COLUMN(S22)-2,0)+Data!$D25))))^2+Data!$J25^2)-Data!$K25)/1000</f>
        <v>#DIV/0!</v>
      </c>
      <c r="T22" s="37" t="e">
        <f>(SQRT(G*Data!$B25/Data!$C25))/1000</f>
        <v>#DIV/0!</v>
      </c>
      <c r="U22" s="38" t="e">
        <f ca="1">T23+orbit19+orbit20</f>
        <v>#DIV/0!</v>
      </c>
      <c r="V22" s="38" t="e">
        <f ca="1">T24+orbit19+orbit21</f>
        <v>#DIV/0!</v>
      </c>
      <c r="W22" s="38" t="e">
        <f ca="1">T25+orbit19+orbit22</f>
        <v>#DIV/0!</v>
      </c>
      <c r="X22" s="38" t="e">
        <f ca="1">T26+orbit19+orbit23</f>
        <v>#DIV/0!</v>
      </c>
      <c r="Y22" s="38" t="e">
        <f ca="1">T27+orbit19+orbit24</f>
        <v>#DIV/0!</v>
      </c>
      <c r="Z22" s="38" t="e">
        <f ca="1">T28+orbit19+orbit25</f>
        <v>#DIV/0!</v>
      </c>
      <c r="AA22" s="38" t="e">
        <f ca="1">T29+orbit19+orbit26</f>
        <v>#DIV/0!</v>
      </c>
      <c r="AB22" s="38" t="e">
        <f ca="1">Y30+orbit19+orbit27</f>
        <v>#DIV/0!</v>
      </c>
      <c r="AC22" s="38" t="e">
        <f ca="1">T31+orbit19+orbit28</f>
        <v>#DIV/0!</v>
      </c>
      <c r="AD22" s="38" t="e">
        <f ca="1">T32+orbit19+orbit29</f>
        <v>#DIV/0!</v>
      </c>
      <c r="AE22" s="38" t="e">
        <f ca="1">T33+orbit19+orbit30</f>
        <v>#DIV/0!</v>
      </c>
      <c r="AF22" s="17" t="str">
        <f>Data!A25</f>
        <v>S19</v>
      </c>
    </row>
    <row r="23" spans="1:32" x14ac:dyDescent="0.35">
      <c r="A23" s="5" t="str">
        <f>Data!A26</f>
        <v>S20</v>
      </c>
      <c r="B23" s="39" t="e">
        <f ca="1">(
SQRT((SQRT(GM_primary/OFFSET(Data!$D$7,COLUMN(B23)-2,0))*(SQRT(2*Data!$D26/(OFFSET(Data!$D$7,COLUMN(B23)-2,0)+Data!$D26))-1))^2+OFFSET(Data!$J$7,COLUMN(B23)-2,0)^2)-OFFSET(Data!$K$7,COLUMN(B23)-2,0)
+
SQRT((SQRT(GM_primary/Data!$D26)*(1-SQRT(2*OFFSET(Data!$D$7,COLUMN(B23)-2,0)/(OFFSET(Data!$D$7,COLUMN(B23)-2,0)+Data!$D26))))^2+Data!$J26^2)-Data!$K26)/1000</f>
        <v>#DIV/0!</v>
      </c>
      <c r="C23" s="39" t="e">
        <f ca="1">(
SQRT((SQRT(GM_primary/OFFSET(Data!$D$7,COLUMN(C23)-2,0))*(SQRT(2*Data!$D26/(OFFSET(Data!$D$7,COLUMN(C23)-2,0)+Data!$D26))-1))^2+OFFSET(Data!$J$7,COLUMN(C23)-2,0)^2)-OFFSET(Data!$K$7,COLUMN(C23)-2,0)
+
SQRT((SQRT(GM_primary/Data!$D26)*(1-SQRT(2*OFFSET(Data!$D$7,COLUMN(C23)-2,0)/(OFFSET(Data!$D$7,COLUMN(C23)-2,0)+Data!$D26))))^2+Data!$J26^2)-Data!$K26)/1000</f>
        <v>#DIV/0!</v>
      </c>
      <c r="D23" s="39" t="e">
        <f ca="1">(
SQRT((SQRT(GM_primary/OFFSET(Data!$D$7,COLUMN(D23)-2,0))*(SQRT(2*Data!$D26/(OFFSET(Data!$D$7,COLUMN(D23)-2,0)+Data!$D26))-1))^2+OFFSET(Data!$J$7,COLUMN(D23)-2,0)^2)-OFFSET(Data!$K$7,COLUMN(D23)-2,0)
+
SQRT((SQRT(GM_primary/Data!$D26)*(1-SQRT(2*OFFSET(Data!$D$7,COLUMN(D23)-2,0)/(OFFSET(Data!$D$7,COLUMN(D23)-2,0)+Data!$D26))))^2+Data!$J26^2)-Data!$K26)/1000</f>
        <v>#DIV/0!</v>
      </c>
      <c r="E23" s="39" t="e">
        <f ca="1">(
SQRT((SQRT(GM_primary/OFFSET(Data!$D$7,COLUMN(E23)-2,0))*(SQRT(2*Data!$D26/(OFFSET(Data!$D$7,COLUMN(E23)-2,0)+Data!$D26))-1))^2+OFFSET(Data!$J$7,COLUMN(E23)-2,0)^2)-OFFSET(Data!$K$7,COLUMN(E23)-2,0)
+
SQRT((SQRT(GM_primary/Data!$D26)*(1-SQRT(2*OFFSET(Data!$D$7,COLUMN(E23)-2,0)/(OFFSET(Data!$D$7,COLUMN(E23)-2,0)+Data!$D26))))^2+Data!$J26^2)-Data!$K26)/1000</f>
        <v>#DIV/0!</v>
      </c>
      <c r="F23" s="39" t="e">
        <f ca="1">(
SQRT((SQRT(GM_primary/OFFSET(Data!$D$7,COLUMN(F23)-2,0))*(SQRT(2*Data!$D26/(OFFSET(Data!$D$7,COLUMN(F23)-2,0)+Data!$D26))-1))^2+OFFSET(Data!$J$7,COLUMN(F23)-2,0)^2)-OFFSET(Data!$K$7,COLUMN(F23)-2,0)
+
SQRT((SQRT(GM_primary/Data!$D26)*(1-SQRT(2*OFFSET(Data!$D$7,COLUMN(F23)-2,0)/(OFFSET(Data!$D$7,COLUMN(F23)-2,0)+Data!$D26))))^2+Data!$J26^2)-Data!$K26)/1000</f>
        <v>#DIV/0!</v>
      </c>
      <c r="G23" s="39" t="e">
        <f ca="1">(
SQRT((SQRT(GM_primary/OFFSET(Data!$D$7,COLUMN(G23)-2,0))*(SQRT(2*Data!$D26/(OFFSET(Data!$D$7,COLUMN(G23)-2,0)+Data!$D26))-1))^2+OFFSET(Data!$J$7,COLUMN(G23)-2,0)^2)-OFFSET(Data!$K$7,COLUMN(G23)-2,0)
+
SQRT((SQRT(GM_primary/Data!$D26)*(1-SQRT(2*OFFSET(Data!$D$7,COLUMN(G23)-2,0)/(OFFSET(Data!$D$7,COLUMN(G23)-2,0)+Data!$D26))))^2+Data!$J26^2)-Data!$K26)/1000</f>
        <v>#DIV/0!</v>
      </c>
      <c r="H23" s="39" t="e">
        <f ca="1">(
SQRT((SQRT(GM_primary/OFFSET(Data!$D$7,COLUMN(H23)-2,0))*(SQRT(2*Data!$D26/(OFFSET(Data!$D$7,COLUMN(H23)-2,0)+Data!$D26))-1))^2+OFFSET(Data!$J$7,COLUMN(H23)-2,0)^2)-OFFSET(Data!$K$7,COLUMN(H23)-2,0)
+
SQRT((SQRT(GM_primary/Data!$D26)*(1-SQRT(2*OFFSET(Data!$D$7,COLUMN(H23)-2,0)/(OFFSET(Data!$D$7,COLUMN(H23)-2,0)+Data!$D26))))^2+Data!$J26^2)-Data!$K26)/1000</f>
        <v>#DIV/0!</v>
      </c>
      <c r="I23" s="39" t="e">
        <f ca="1">(
SQRT((SQRT(GM_primary/OFFSET(Data!$D$7,COLUMN(I23)-2,0))*(SQRT(2*Data!$D26/(OFFSET(Data!$D$7,COLUMN(I23)-2,0)+Data!$D26))-1))^2+OFFSET(Data!$J$7,COLUMN(I23)-2,0)^2)-OFFSET(Data!$K$7,COLUMN(I23)-2,0)
+
SQRT((SQRT(GM_primary/Data!$D26)*(1-SQRT(2*OFFSET(Data!$D$7,COLUMN(I23)-2,0)/(OFFSET(Data!$D$7,COLUMN(I23)-2,0)+Data!$D26))))^2+Data!$J26^2)-Data!$K26)/1000</f>
        <v>#DIV/0!</v>
      </c>
      <c r="J23" s="39" t="e">
        <f ca="1">(
SQRT((SQRT(GM_primary/OFFSET(Data!$D$7,COLUMN(J23)-2,0))*(SQRT(2*Data!$D26/(OFFSET(Data!$D$7,COLUMN(J23)-2,0)+Data!$D26))-1))^2+OFFSET(Data!$J$7,COLUMN(J23)-2,0)^2)-OFFSET(Data!$K$7,COLUMN(J23)-2,0)
+
SQRT((SQRT(GM_primary/Data!$D26)*(1-SQRT(2*OFFSET(Data!$D$7,COLUMN(J23)-2,0)/(OFFSET(Data!$D$7,COLUMN(J23)-2,0)+Data!$D26))))^2+Data!$J26^2)-Data!$K26)/1000</f>
        <v>#DIV/0!</v>
      </c>
      <c r="K23" s="39" t="e">
        <f ca="1">(
SQRT((SQRT(GM_primary/OFFSET(Data!$D$7,COLUMN(K23)-2,0))*(SQRT(2*Data!$D26/(OFFSET(Data!$D$7,COLUMN(K23)-2,0)+Data!$D26))-1))^2+OFFSET(Data!$J$7,COLUMN(K23)-2,0)^2)-OFFSET(Data!$K$7,COLUMN(K23)-2,0)
+
SQRT((SQRT(GM_primary/Data!$D26)*(1-SQRT(2*OFFSET(Data!$D$7,COLUMN(K23)-2,0)/(OFFSET(Data!$D$7,COLUMN(K23)-2,0)+Data!$D26))))^2+Data!$J26^2)-Data!$K26)/1000</f>
        <v>#DIV/0!</v>
      </c>
      <c r="L23" s="39" t="e">
        <f ca="1">(
SQRT((SQRT(GM_primary/OFFSET(Data!$D$7,COLUMN(L23)-2,0))*(SQRT(2*Data!$D26/(OFFSET(Data!$D$7,COLUMN(L23)-2,0)+Data!$D26))-1))^2+OFFSET(Data!$J$7,COLUMN(L23)-2,0)^2)-OFFSET(Data!$K$7,COLUMN(L23)-2,0)
+
SQRT((SQRT(GM_primary/Data!$D26)*(1-SQRT(2*OFFSET(Data!$D$7,COLUMN(L23)-2,0)/(OFFSET(Data!$D$7,COLUMN(L23)-2,0)+Data!$D26))))^2+Data!$J26^2)-Data!$K26)/1000</f>
        <v>#DIV/0!</v>
      </c>
      <c r="M23" s="39" t="e">
        <f ca="1">(
SQRT((SQRT(GM_primary/OFFSET(Data!$D$7,COLUMN(M23)-2,0))*(SQRT(2*Data!$D26/(OFFSET(Data!$D$7,COLUMN(M23)-2,0)+Data!$D26))-1))^2+OFFSET(Data!$J$7,COLUMN(M23)-2,0)^2)-OFFSET(Data!$K$7,COLUMN(M23)-2,0)
+
SQRT((SQRT(GM_primary/Data!$D26)*(1-SQRT(2*OFFSET(Data!$D$7,COLUMN(M23)-2,0)/(OFFSET(Data!$D$7,COLUMN(M23)-2,0)+Data!$D26))))^2+Data!$J26^2)-Data!$K26)/1000</f>
        <v>#DIV/0!</v>
      </c>
      <c r="N23" s="39" t="e">
        <f ca="1">(
SQRT((SQRT(GM_primary/OFFSET(Data!$D$7,COLUMN(N23)-2,0))*(SQRT(2*Data!$D26/(OFFSET(Data!$D$7,COLUMN(N23)-2,0)+Data!$D26))-1))^2+OFFSET(Data!$J$7,COLUMN(N23)-2,0)^2)-OFFSET(Data!$K$7,COLUMN(N23)-2,0)
+
SQRT((SQRT(GM_primary/Data!$D26)*(1-SQRT(2*OFFSET(Data!$D$7,COLUMN(N23)-2,0)/(OFFSET(Data!$D$7,COLUMN(N23)-2,0)+Data!$D26))))^2+Data!$J26^2)-Data!$K26)/1000</f>
        <v>#DIV/0!</v>
      </c>
      <c r="O23" s="39" t="e">
        <f ca="1">(
SQRT((SQRT(GM_primary/OFFSET(Data!$D$7,COLUMN(O23)-2,0))*(SQRT(2*Data!$D26/(OFFSET(Data!$D$7,COLUMN(O23)-2,0)+Data!$D26))-1))^2+OFFSET(Data!$J$7,COLUMN(O23)-2,0)^2)-OFFSET(Data!$K$7,COLUMN(O23)-2,0)
+
SQRT((SQRT(GM_primary/Data!$D26)*(1-SQRT(2*OFFSET(Data!$D$7,COLUMN(O23)-2,0)/(OFFSET(Data!$D$7,COLUMN(O23)-2,0)+Data!$D26))))^2+Data!$J26^2)-Data!$K26)/1000</f>
        <v>#DIV/0!</v>
      </c>
      <c r="P23" s="39" t="e">
        <f ca="1">(
SQRT((SQRT(GM_primary/OFFSET(Data!$D$7,COLUMN(P23)-2,0))*(SQRT(2*Data!$D26/(OFFSET(Data!$D$7,COLUMN(P23)-2,0)+Data!$D26))-1))^2+OFFSET(Data!$J$7,COLUMN(P23)-2,0)^2)-OFFSET(Data!$K$7,COLUMN(P23)-2,0)
+
SQRT((SQRT(GM_primary/Data!$D26)*(1-SQRT(2*OFFSET(Data!$D$7,COLUMN(P23)-2,0)/(OFFSET(Data!$D$7,COLUMN(P23)-2,0)+Data!$D26))))^2+Data!$J26^2)-Data!$K26)/1000</f>
        <v>#DIV/0!</v>
      </c>
      <c r="Q23" s="39" t="e">
        <f ca="1">(
SQRT((SQRT(GM_primary/OFFSET(Data!$D$7,COLUMN(Q23)-2,0))*(SQRT(2*Data!$D26/(OFFSET(Data!$D$7,COLUMN(Q23)-2,0)+Data!$D26))-1))^2+OFFSET(Data!$J$7,COLUMN(Q23)-2,0)^2)-OFFSET(Data!$K$7,COLUMN(Q23)-2,0)
+
SQRT((SQRT(GM_primary/Data!$D26)*(1-SQRT(2*OFFSET(Data!$D$7,COLUMN(Q23)-2,0)/(OFFSET(Data!$D$7,COLUMN(Q23)-2,0)+Data!$D26))))^2+Data!$J26^2)-Data!$K26)/1000</f>
        <v>#DIV/0!</v>
      </c>
      <c r="R23" s="39" t="e">
        <f ca="1">(
SQRT((SQRT(GM_primary/OFFSET(Data!$D$7,COLUMN(R23)-2,0))*(SQRT(2*Data!$D26/(OFFSET(Data!$D$7,COLUMN(R23)-2,0)+Data!$D26))-1))^2+OFFSET(Data!$J$7,COLUMN(R23)-2,0)^2)-OFFSET(Data!$K$7,COLUMN(R23)-2,0)
+
SQRT((SQRT(GM_primary/Data!$D26)*(1-SQRT(2*OFFSET(Data!$D$7,COLUMN(R23)-2,0)/(OFFSET(Data!$D$7,COLUMN(R23)-2,0)+Data!$D26))))^2+Data!$J26^2)-Data!$K26)/1000</f>
        <v>#DIV/0!</v>
      </c>
      <c r="S23" s="39" t="e">
        <f ca="1">(
SQRT((SQRT(GM_primary/OFFSET(Data!$D$7,COLUMN(S23)-2,0))*(SQRT(2*Data!$D26/(OFFSET(Data!$D$7,COLUMN(S23)-2,0)+Data!$D26))-1))^2+OFFSET(Data!$J$7,COLUMN(S23)-2,0)^2)-OFFSET(Data!$K$7,COLUMN(S23)-2,0)
+
SQRT((SQRT(GM_primary/Data!$D26)*(1-SQRT(2*OFFSET(Data!$D$7,COLUMN(S23)-2,0)/(OFFSET(Data!$D$7,COLUMN(S23)-2,0)+Data!$D26))))^2+Data!$J26^2)-Data!$K26)/1000</f>
        <v>#DIV/0!</v>
      </c>
      <c r="T23" s="39" t="e">
        <f ca="1">(
SQRT((SQRT(GM_primary/OFFSET(Data!$D$7,COLUMN(T23)-2,0))*(SQRT(2*Data!$D26/(OFFSET(Data!$D$7,COLUMN(T23)-2,0)+Data!$D26))-1))^2+OFFSET(Data!$J$7,COLUMN(T23)-2,0)^2)-OFFSET(Data!$K$7,COLUMN(T23)-2,0)
+
SQRT((SQRT(GM_primary/Data!$D26)*(1-SQRT(2*OFFSET(Data!$D$7,COLUMN(T23)-2,0)/(OFFSET(Data!$D$7,COLUMN(T23)-2,0)+Data!$D26))))^2+Data!$J26^2)-Data!$K26)/1000</f>
        <v>#DIV/0!</v>
      </c>
      <c r="U23" s="37" t="e">
        <f>(SQRT(G*Data!$B26/Data!$C26))/1000</f>
        <v>#DIV/0!</v>
      </c>
      <c r="V23" s="40" t="e">
        <f ca="1">U24+orbit20+orbit21</f>
        <v>#DIV/0!</v>
      </c>
      <c r="W23" s="40" t="e">
        <f ca="1">U25+orbit20+orbit22</f>
        <v>#DIV/0!</v>
      </c>
      <c r="X23" s="40" t="e">
        <f ca="1">U26+orbit20+orbit23</f>
        <v>#DIV/0!</v>
      </c>
      <c r="Y23" s="40" t="e">
        <f ca="1">U27+orbit20+orbit24</f>
        <v>#DIV/0!</v>
      </c>
      <c r="Z23" s="40" t="e">
        <f ca="1">U28+orbit20+orbit25</f>
        <v>#DIV/0!</v>
      </c>
      <c r="AA23" s="40" t="e">
        <f ca="1">U29+orbit20+orbit26</f>
        <v>#DIV/0!</v>
      </c>
      <c r="AB23" s="40" t="e">
        <f ca="1">U30+orbit20+orbit27</f>
        <v>#DIV/0!</v>
      </c>
      <c r="AC23" s="40" t="e">
        <f ca="1">U31+orbit20+orbit28</f>
        <v>#DIV/0!</v>
      </c>
      <c r="AD23" s="40" t="e">
        <f ca="1">U32+orbit20+orbit29</f>
        <v>#DIV/0!</v>
      </c>
      <c r="AE23" s="40" t="e">
        <f ca="1">U33+orbit20+orbit30</f>
        <v>#DIV/0!</v>
      </c>
      <c r="AF23" s="17" t="str">
        <f>Data!A26</f>
        <v>S20</v>
      </c>
    </row>
    <row r="24" spans="1:32" x14ac:dyDescent="0.35">
      <c r="A24" s="5" t="str">
        <f>Data!A27</f>
        <v>S21</v>
      </c>
      <c r="B24" s="41" t="e">
        <f ca="1">(
SQRT((SQRT(GM_primary/OFFSET(Data!$D$7,COLUMN(B24)-2,0))*(SQRT(2*Data!$D27/(OFFSET(Data!$D$7,COLUMN(B24)-2,0)+Data!$D27))-1))^2+OFFSET(Data!$J$7,COLUMN(B24)-2,0)^2)-OFFSET(Data!$K$7,COLUMN(B24)-2,0)
+
SQRT((SQRT(GM_primary/Data!$D27)*(1-SQRT(2*OFFSET(Data!$D$7,COLUMN(B24)-2,0)/(OFFSET(Data!$D$7,COLUMN(B24)-2,0)+Data!$D27))))^2+Data!$J27^2)-Data!$K27)/1000</f>
        <v>#DIV/0!</v>
      </c>
      <c r="C24" s="41" t="e">
        <f ca="1">(
SQRT((SQRT(GM_primary/OFFSET(Data!$D$7,COLUMN(C24)-2,0))*(SQRT(2*Data!$D27/(OFFSET(Data!$D$7,COLUMN(C24)-2,0)+Data!$D27))-1))^2+OFFSET(Data!$J$7,COLUMN(C24)-2,0)^2)-OFFSET(Data!$K$7,COLUMN(C24)-2,0)
+
SQRT((SQRT(GM_primary/Data!$D27)*(1-SQRT(2*OFFSET(Data!$D$7,COLUMN(C24)-2,0)/(OFFSET(Data!$D$7,COLUMN(C24)-2,0)+Data!$D27))))^2+Data!$J27^2)-Data!$K27)/1000</f>
        <v>#DIV/0!</v>
      </c>
      <c r="D24" s="41" t="e">
        <f ca="1">(
SQRT((SQRT(GM_primary/OFFSET(Data!$D$7,COLUMN(D24)-2,0))*(SQRT(2*Data!$D27/(OFFSET(Data!$D$7,COLUMN(D24)-2,0)+Data!$D27))-1))^2+OFFSET(Data!$J$7,COLUMN(D24)-2,0)^2)-OFFSET(Data!$K$7,COLUMN(D24)-2,0)
+
SQRT((SQRT(GM_primary/Data!$D27)*(1-SQRT(2*OFFSET(Data!$D$7,COLUMN(D24)-2,0)/(OFFSET(Data!$D$7,COLUMN(D24)-2,0)+Data!$D27))))^2+Data!$J27^2)-Data!$K27)/1000</f>
        <v>#DIV/0!</v>
      </c>
      <c r="E24" s="41" t="e">
        <f ca="1">(
SQRT((SQRT(GM_primary/OFFSET(Data!$D$7,COLUMN(E24)-2,0))*(SQRT(2*Data!$D27/(OFFSET(Data!$D$7,COLUMN(E24)-2,0)+Data!$D27))-1))^2+OFFSET(Data!$J$7,COLUMN(E24)-2,0)^2)-OFFSET(Data!$K$7,COLUMN(E24)-2,0)
+
SQRT((SQRT(GM_primary/Data!$D27)*(1-SQRT(2*OFFSET(Data!$D$7,COLUMN(E24)-2,0)/(OFFSET(Data!$D$7,COLUMN(E24)-2,0)+Data!$D27))))^2+Data!$J27^2)-Data!$K27)/1000</f>
        <v>#DIV/0!</v>
      </c>
      <c r="F24" s="41" t="e">
        <f ca="1">(
SQRT((SQRT(GM_primary/OFFSET(Data!$D$7,COLUMN(F24)-2,0))*(SQRT(2*Data!$D27/(OFFSET(Data!$D$7,COLUMN(F24)-2,0)+Data!$D27))-1))^2+OFFSET(Data!$J$7,COLUMN(F24)-2,0)^2)-OFFSET(Data!$K$7,COLUMN(F24)-2,0)
+
SQRT((SQRT(GM_primary/Data!$D27)*(1-SQRT(2*OFFSET(Data!$D$7,COLUMN(F24)-2,0)/(OFFSET(Data!$D$7,COLUMN(F24)-2,0)+Data!$D27))))^2+Data!$J27^2)-Data!$K27)/1000</f>
        <v>#DIV/0!</v>
      </c>
      <c r="G24" s="41" t="e">
        <f ca="1">(
SQRT((SQRT(GM_primary/OFFSET(Data!$D$7,COLUMN(G24)-2,0))*(SQRT(2*Data!$D27/(OFFSET(Data!$D$7,COLUMN(G24)-2,0)+Data!$D27))-1))^2+OFFSET(Data!$J$7,COLUMN(G24)-2,0)^2)-OFFSET(Data!$K$7,COLUMN(G24)-2,0)
+
SQRT((SQRT(GM_primary/Data!$D27)*(1-SQRT(2*OFFSET(Data!$D$7,COLUMN(G24)-2,0)/(OFFSET(Data!$D$7,COLUMN(G24)-2,0)+Data!$D27))))^2+Data!$J27^2)-Data!$K27)/1000</f>
        <v>#DIV/0!</v>
      </c>
      <c r="H24" s="41" t="e">
        <f ca="1">(
SQRT((SQRT(GM_primary/OFFSET(Data!$D$7,COLUMN(H24)-2,0))*(SQRT(2*Data!$D27/(OFFSET(Data!$D$7,COLUMN(H24)-2,0)+Data!$D27))-1))^2+OFFSET(Data!$J$7,COLUMN(H24)-2,0)^2)-OFFSET(Data!$K$7,COLUMN(H24)-2,0)
+
SQRT((SQRT(GM_primary/Data!$D27)*(1-SQRT(2*OFFSET(Data!$D$7,COLUMN(H24)-2,0)/(OFFSET(Data!$D$7,COLUMN(H24)-2,0)+Data!$D27))))^2+Data!$J27^2)-Data!$K27)/1000</f>
        <v>#DIV/0!</v>
      </c>
      <c r="I24" s="41" t="e">
        <f ca="1">(
SQRT((SQRT(GM_primary/OFFSET(Data!$D$7,COLUMN(I24)-2,0))*(SQRT(2*Data!$D27/(OFFSET(Data!$D$7,COLUMN(I24)-2,0)+Data!$D27))-1))^2+OFFSET(Data!$J$7,COLUMN(I24)-2,0)^2)-OFFSET(Data!$K$7,COLUMN(I24)-2,0)
+
SQRT((SQRT(GM_primary/Data!$D27)*(1-SQRT(2*OFFSET(Data!$D$7,COLUMN(I24)-2,0)/(OFFSET(Data!$D$7,COLUMN(I24)-2,0)+Data!$D27))))^2+Data!$J27^2)-Data!$K27)/1000</f>
        <v>#DIV/0!</v>
      </c>
      <c r="J24" s="41" t="e">
        <f ca="1">(
SQRT((SQRT(GM_primary/OFFSET(Data!$D$7,COLUMN(J24)-2,0))*(SQRT(2*Data!$D27/(OFFSET(Data!$D$7,COLUMN(J24)-2,0)+Data!$D27))-1))^2+OFFSET(Data!$J$7,COLUMN(J24)-2,0)^2)-OFFSET(Data!$K$7,COLUMN(J24)-2,0)
+
SQRT((SQRT(GM_primary/Data!$D27)*(1-SQRT(2*OFFSET(Data!$D$7,COLUMN(J24)-2,0)/(OFFSET(Data!$D$7,COLUMN(J24)-2,0)+Data!$D27))))^2+Data!$J27^2)-Data!$K27)/1000</f>
        <v>#DIV/0!</v>
      </c>
      <c r="K24" s="41" t="e">
        <f ca="1">(
SQRT((SQRT(GM_primary/OFFSET(Data!$D$7,COLUMN(K24)-2,0))*(SQRT(2*Data!$D27/(OFFSET(Data!$D$7,COLUMN(K24)-2,0)+Data!$D27))-1))^2+OFFSET(Data!$J$7,COLUMN(K24)-2,0)^2)-OFFSET(Data!$K$7,COLUMN(K24)-2,0)
+
SQRT((SQRT(GM_primary/Data!$D27)*(1-SQRT(2*OFFSET(Data!$D$7,COLUMN(K24)-2,0)/(OFFSET(Data!$D$7,COLUMN(K24)-2,0)+Data!$D27))))^2+Data!$J27^2)-Data!$K27)/1000</f>
        <v>#DIV/0!</v>
      </c>
      <c r="L24" s="41" t="e">
        <f ca="1">(
SQRT((SQRT(GM_primary/OFFSET(Data!$D$7,COLUMN(L24)-2,0))*(SQRT(2*Data!$D27/(OFFSET(Data!$D$7,COLUMN(L24)-2,0)+Data!$D27))-1))^2+OFFSET(Data!$J$7,COLUMN(L24)-2,0)^2)-OFFSET(Data!$K$7,COLUMN(L24)-2,0)
+
SQRT((SQRT(GM_primary/Data!$D27)*(1-SQRT(2*OFFSET(Data!$D$7,COLUMN(L24)-2,0)/(OFFSET(Data!$D$7,COLUMN(L24)-2,0)+Data!$D27))))^2+Data!$J27^2)-Data!$K27)/1000</f>
        <v>#DIV/0!</v>
      </c>
      <c r="M24" s="41" t="e">
        <f ca="1">(
SQRT((SQRT(GM_primary/OFFSET(Data!$D$7,COLUMN(M24)-2,0))*(SQRT(2*Data!$D27/(OFFSET(Data!$D$7,COLUMN(M24)-2,0)+Data!$D27))-1))^2+OFFSET(Data!$J$7,COLUMN(M24)-2,0)^2)-OFFSET(Data!$K$7,COLUMN(M24)-2,0)
+
SQRT((SQRT(GM_primary/Data!$D27)*(1-SQRT(2*OFFSET(Data!$D$7,COLUMN(M24)-2,0)/(OFFSET(Data!$D$7,COLUMN(M24)-2,0)+Data!$D27))))^2+Data!$J27^2)-Data!$K27)/1000</f>
        <v>#DIV/0!</v>
      </c>
      <c r="N24" s="41" t="e">
        <f ca="1">(
SQRT((SQRT(GM_primary/OFFSET(Data!$D$7,COLUMN(N24)-2,0))*(SQRT(2*Data!$D27/(OFFSET(Data!$D$7,COLUMN(N24)-2,0)+Data!$D27))-1))^2+OFFSET(Data!$J$7,COLUMN(N24)-2,0)^2)-OFFSET(Data!$K$7,COLUMN(N24)-2,0)
+
SQRT((SQRT(GM_primary/Data!$D27)*(1-SQRT(2*OFFSET(Data!$D$7,COLUMN(N24)-2,0)/(OFFSET(Data!$D$7,COLUMN(N24)-2,0)+Data!$D27))))^2+Data!$J27^2)-Data!$K27)/1000</f>
        <v>#DIV/0!</v>
      </c>
      <c r="O24" s="41" t="e">
        <f ca="1">(
SQRT((SQRT(GM_primary/OFFSET(Data!$D$7,COLUMN(O24)-2,0))*(SQRT(2*Data!$D27/(OFFSET(Data!$D$7,COLUMN(O24)-2,0)+Data!$D27))-1))^2+OFFSET(Data!$J$7,COLUMN(O24)-2,0)^2)-OFFSET(Data!$K$7,COLUMN(O24)-2,0)
+
SQRT((SQRT(GM_primary/Data!$D27)*(1-SQRT(2*OFFSET(Data!$D$7,COLUMN(O24)-2,0)/(OFFSET(Data!$D$7,COLUMN(O24)-2,0)+Data!$D27))))^2+Data!$J27^2)-Data!$K27)/1000</f>
        <v>#DIV/0!</v>
      </c>
      <c r="P24" s="41" t="e">
        <f ca="1">(
SQRT((SQRT(GM_primary/OFFSET(Data!$D$7,COLUMN(P24)-2,0))*(SQRT(2*Data!$D27/(OFFSET(Data!$D$7,COLUMN(P24)-2,0)+Data!$D27))-1))^2+OFFSET(Data!$J$7,COLUMN(P24)-2,0)^2)-OFFSET(Data!$K$7,COLUMN(P24)-2,0)
+
SQRT((SQRT(GM_primary/Data!$D27)*(1-SQRT(2*OFFSET(Data!$D$7,COLUMN(P24)-2,0)/(OFFSET(Data!$D$7,COLUMN(P24)-2,0)+Data!$D27))))^2+Data!$J27^2)-Data!$K27)/1000</f>
        <v>#DIV/0!</v>
      </c>
      <c r="Q24" s="41" t="e">
        <f ca="1">(
SQRT((SQRT(GM_primary/OFFSET(Data!$D$7,COLUMN(Q24)-2,0))*(SQRT(2*Data!$D27/(OFFSET(Data!$D$7,COLUMN(Q24)-2,0)+Data!$D27))-1))^2+OFFSET(Data!$J$7,COLUMN(Q24)-2,0)^2)-OFFSET(Data!$K$7,COLUMN(Q24)-2,0)
+
SQRT((SQRT(GM_primary/Data!$D27)*(1-SQRT(2*OFFSET(Data!$D$7,COLUMN(Q24)-2,0)/(OFFSET(Data!$D$7,COLUMN(Q24)-2,0)+Data!$D27))))^2+Data!$J27^2)-Data!$K27)/1000</f>
        <v>#DIV/0!</v>
      </c>
      <c r="R24" s="41" t="e">
        <f ca="1">(
SQRT((SQRT(GM_primary/OFFSET(Data!$D$7,COLUMN(R24)-2,0))*(SQRT(2*Data!$D27/(OFFSET(Data!$D$7,COLUMN(R24)-2,0)+Data!$D27))-1))^2+OFFSET(Data!$J$7,COLUMN(R24)-2,0)^2)-OFFSET(Data!$K$7,COLUMN(R24)-2,0)
+
SQRT((SQRT(GM_primary/Data!$D27)*(1-SQRT(2*OFFSET(Data!$D$7,COLUMN(R24)-2,0)/(OFFSET(Data!$D$7,COLUMN(R24)-2,0)+Data!$D27))))^2+Data!$J27^2)-Data!$K27)/1000</f>
        <v>#DIV/0!</v>
      </c>
      <c r="S24" s="41" t="e">
        <f ca="1">(
SQRT((SQRT(GM_primary/OFFSET(Data!$D$7,COLUMN(S24)-2,0))*(SQRT(2*Data!$D27/(OFFSET(Data!$D$7,COLUMN(S24)-2,0)+Data!$D27))-1))^2+OFFSET(Data!$J$7,COLUMN(S24)-2,0)^2)-OFFSET(Data!$K$7,COLUMN(S24)-2,0)
+
SQRT((SQRT(GM_primary/Data!$D27)*(1-SQRT(2*OFFSET(Data!$D$7,COLUMN(S24)-2,0)/(OFFSET(Data!$D$7,COLUMN(S24)-2,0)+Data!$D27))))^2+Data!$J27^2)-Data!$K27)/1000</f>
        <v>#DIV/0!</v>
      </c>
      <c r="T24" s="41" t="e">
        <f ca="1">(
SQRT((SQRT(GM_primary/OFFSET(Data!$D$7,COLUMN(T24)-2,0))*(SQRT(2*Data!$D27/(OFFSET(Data!$D$7,COLUMN(T24)-2,0)+Data!$D27))-1))^2+OFFSET(Data!$J$7,COLUMN(T24)-2,0)^2)-OFFSET(Data!$K$7,COLUMN(T24)-2,0)
+
SQRT((SQRT(GM_primary/Data!$D27)*(1-SQRT(2*OFFSET(Data!$D$7,COLUMN(T24)-2,0)/(OFFSET(Data!$D$7,COLUMN(T24)-2,0)+Data!$D27))))^2+Data!$J27^2)-Data!$K27)/1000</f>
        <v>#DIV/0!</v>
      </c>
      <c r="U24" s="41" t="e">
        <f ca="1">(
SQRT((SQRT(GM_primary/OFFSET(Data!$D$7,COLUMN(U24)-2,0))*(SQRT(2*Data!$D27/(OFFSET(Data!$D$7,COLUMN(U24)-2,0)+Data!$D27))-1))^2+OFFSET(Data!$J$7,COLUMN(U24)-2,0)^2)-OFFSET(Data!$K$7,COLUMN(U24)-2,0)
+
SQRT((SQRT(GM_primary/Data!$D27)*(1-SQRT(2*OFFSET(Data!$D$7,COLUMN(U24)-2,0)/(OFFSET(Data!$D$7,COLUMN(U24)-2,0)+Data!$D27))))^2+Data!$J27^2)-Data!$K27)/1000</f>
        <v>#DIV/0!</v>
      </c>
      <c r="V24" s="37" t="e">
        <f>(SQRT(G*Data!$B27/Data!$C27))/1000</f>
        <v>#DIV/0!</v>
      </c>
      <c r="W24" s="38" t="e">
        <f ca="1">V25+orbit21+orbit22</f>
        <v>#DIV/0!</v>
      </c>
      <c r="X24" s="38" t="e">
        <f ca="1">V26+orbit21+orbit23</f>
        <v>#DIV/0!</v>
      </c>
      <c r="Y24" s="38" t="e">
        <f ca="1">V27+orbit21+orbit24</f>
        <v>#DIV/0!</v>
      </c>
      <c r="Z24" s="38" t="e">
        <f ca="1">V28+orbit21+orbit25</f>
        <v>#DIV/0!</v>
      </c>
      <c r="AA24" s="38" t="e">
        <f ca="1">V29+orbit21+orbit26</f>
        <v>#DIV/0!</v>
      </c>
      <c r="AB24" s="38" t="e">
        <f ca="1">V30+orbit21+orbit27</f>
        <v>#DIV/0!</v>
      </c>
      <c r="AC24" s="38" t="e">
        <f ca="1">V31+orbit21+orbit28</f>
        <v>#DIV/0!</v>
      </c>
      <c r="AD24" s="38" t="e">
        <f ca="1">V32+orbit21+orbit29</f>
        <v>#DIV/0!</v>
      </c>
      <c r="AE24" s="38" t="e">
        <f ca="1">V33+orbit21+orbit30</f>
        <v>#DIV/0!</v>
      </c>
      <c r="AF24" s="17" t="str">
        <f>Data!A27</f>
        <v>S21</v>
      </c>
    </row>
    <row r="25" spans="1:32" x14ac:dyDescent="0.35">
      <c r="A25" s="5" t="str">
        <f>Data!A28</f>
        <v>S22</v>
      </c>
      <c r="B25" s="39" t="e">
        <f ca="1">(
SQRT((SQRT(GM_primary/OFFSET(Data!$D$7,COLUMN(B25)-2,0))*(SQRT(2*Data!$D28/(OFFSET(Data!$D$7,COLUMN(B25)-2,0)+Data!$D28))-1))^2+OFFSET(Data!$J$7,COLUMN(B25)-2,0)^2)-OFFSET(Data!$K$7,COLUMN(B25)-2,0)
+
SQRT((SQRT(GM_primary/Data!$D28)*(1-SQRT(2*OFFSET(Data!$D$7,COLUMN(B25)-2,0)/(OFFSET(Data!$D$7,COLUMN(B25)-2,0)+Data!$D28))))^2+Data!$J28^2)-Data!$K28)/1000</f>
        <v>#DIV/0!</v>
      </c>
      <c r="C25" s="39" t="e">
        <f ca="1">(
SQRT((SQRT(GM_primary/OFFSET(Data!$D$7,COLUMN(C25)-2,0))*(SQRT(2*Data!$D28/(OFFSET(Data!$D$7,COLUMN(C25)-2,0)+Data!$D28))-1))^2+OFFSET(Data!$J$7,COLUMN(C25)-2,0)^2)-OFFSET(Data!$K$7,COLUMN(C25)-2,0)
+
SQRT((SQRT(GM_primary/Data!$D28)*(1-SQRT(2*OFFSET(Data!$D$7,COLUMN(C25)-2,0)/(OFFSET(Data!$D$7,COLUMN(C25)-2,0)+Data!$D28))))^2+Data!$J28^2)-Data!$K28)/1000</f>
        <v>#DIV/0!</v>
      </c>
      <c r="D25" s="39" t="e">
        <f ca="1">(
SQRT((SQRT(GM_primary/OFFSET(Data!$D$7,COLUMN(D25)-2,0))*(SQRT(2*Data!$D28/(OFFSET(Data!$D$7,COLUMN(D25)-2,0)+Data!$D28))-1))^2+OFFSET(Data!$J$7,COLUMN(D25)-2,0)^2)-OFFSET(Data!$K$7,COLUMN(D25)-2,0)
+
SQRT((SQRT(GM_primary/Data!$D28)*(1-SQRT(2*OFFSET(Data!$D$7,COLUMN(D25)-2,0)/(OFFSET(Data!$D$7,COLUMN(D25)-2,0)+Data!$D28))))^2+Data!$J28^2)-Data!$K28)/1000</f>
        <v>#DIV/0!</v>
      </c>
      <c r="E25" s="39" t="e">
        <f ca="1">(
SQRT((SQRT(GM_primary/OFFSET(Data!$D$7,COLUMN(E25)-2,0))*(SQRT(2*Data!$D28/(OFFSET(Data!$D$7,COLUMN(E25)-2,0)+Data!$D28))-1))^2+OFFSET(Data!$J$7,COLUMN(E25)-2,0)^2)-OFFSET(Data!$K$7,COLUMN(E25)-2,0)
+
SQRT((SQRT(GM_primary/Data!$D28)*(1-SQRT(2*OFFSET(Data!$D$7,COLUMN(E25)-2,0)/(OFFSET(Data!$D$7,COLUMN(E25)-2,0)+Data!$D28))))^2+Data!$J28^2)-Data!$K28)/1000</f>
        <v>#DIV/0!</v>
      </c>
      <c r="F25" s="39" t="e">
        <f ca="1">(
SQRT((SQRT(GM_primary/OFFSET(Data!$D$7,COLUMN(F25)-2,0))*(SQRT(2*Data!$D28/(OFFSET(Data!$D$7,COLUMN(F25)-2,0)+Data!$D28))-1))^2+OFFSET(Data!$J$7,COLUMN(F25)-2,0)^2)-OFFSET(Data!$K$7,COLUMN(F25)-2,0)
+
SQRT((SQRT(GM_primary/Data!$D28)*(1-SQRT(2*OFFSET(Data!$D$7,COLUMN(F25)-2,0)/(OFFSET(Data!$D$7,COLUMN(F25)-2,0)+Data!$D28))))^2+Data!$J28^2)-Data!$K28)/1000</f>
        <v>#DIV/0!</v>
      </c>
      <c r="G25" s="39" t="e">
        <f ca="1">(
SQRT((SQRT(GM_primary/OFFSET(Data!$D$7,COLUMN(G25)-2,0))*(SQRT(2*Data!$D28/(OFFSET(Data!$D$7,COLUMN(G25)-2,0)+Data!$D28))-1))^2+OFFSET(Data!$J$7,COLUMN(G25)-2,0)^2)-OFFSET(Data!$K$7,COLUMN(G25)-2,0)
+
SQRT((SQRT(GM_primary/Data!$D28)*(1-SQRT(2*OFFSET(Data!$D$7,COLUMN(G25)-2,0)/(OFFSET(Data!$D$7,COLUMN(G25)-2,0)+Data!$D28))))^2+Data!$J28^2)-Data!$K28)/1000</f>
        <v>#DIV/0!</v>
      </c>
      <c r="H25" s="39" t="e">
        <f ca="1">(
SQRT((SQRT(GM_primary/OFFSET(Data!$D$7,COLUMN(H25)-2,0))*(SQRT(2*Data!$D28/(OFFSET(Data!$D$7,COLUMN(H25)-2,0)+Data!$D28))-1))^2+OFFSET(Data!$J$7,COLUMN(H25)-2,0)^2)-OFFSET(Data!$K$7,COLUMN(H25)-2,0)
+
SQRT((SQRT(GM_primary/Data!$D28)*(1-SQRT(2*OFFSET(Data!$D$7,COLUMN(H25)-2,0)/(OFFSET(Data!$D$7,COLUMN(H25)-2,0)+Data!$D28))))^2+Data!$J28^2)-Data!$K28)/1000</f>
        <v>#DIV/0!</v>
      </c>
      <c r="I25" s="39" t="e">
        <f ca="1">(
SQRT((SQRT(GM_primary/OFFSET(Data!$D$7,COLUMN(I25)-2,0))*(SQRT(2*Data!$D28/(OFFSET(Data!$D$7,COLUMN(I25)-2,0)+Data!$D28))-1))^2+OFFSET(Data!$J$7,COLUMN(I25)-2,0)^2)-OFFSET(Data!$K$7,COLUMN(I25)-2,0)
+
SQRT((SQRT(GM_primary/Data!$D28)*(1-SQRT(2*OFFSET(Data!$D$7,COLUMN(I25)-2,0)/(OFFSET(Data!$D$7,COLUMN(I25)-2,0)+Data!$D28))))^2+Data!$J28^2)-Data!$K28)/1000</f>
        <v>#DIV/0!</v>
      </c>
      <c r="J25" s="39" t="e">
        <f ca="1">(
SQRT((SQRT(GM_primary/OFFSET(Data!$D$7,COLUMN(J25)-2,0))*(SQRT(2*Data!$D28/(OFFSET(Data!$D$7,COLUMN(J25)-2,0)+Data!$D28))-1))^2+OFFSET(Data!$J$7,COLUMN(J25)-2,0)^2)-OFFSET(Data!$K$7,COLUMN(J25)-2,0)
+
SQRT((SQRT(GM_primary/Data!$D28)*(1-SQRT(2*OFFSET(Data!$D$7,COLUMN(J25)-2,0)/(OFFSET(Data!$D$7,COLUMN(J25)-2,0)+Data!$D28))))^2+Data!$J28^2)-Data!$K28)/1000</f>
        <v>#DIV/0!</v>
      </c>
      <c r="K25" s="39" t="e">
        <f ca="1">(
SQRT((SQRT(GM_primary/OFFSET(Data!$D$7,COLUMN(K25)-2,0))*(SQRT(2*Data!$D28/(OFFSET(Data!$D$7,COLUMN(K25)-2,0)+Data!$D28))-1))^2+OFFSET(Data!$J$7,COLUMN(K25)-2,0)^2)-OFFSET(Data!$K$7,COLUMN(K25)-2,0)
+
SQRT((SQRT(GM_primary/Data!$D28)*(1-SQRT(2*OFFSET(Data!$D$7,COLUMN(K25)-2,0)/(OFFSET(Data!$D$7,COLUMN(K25)-2,0)+Data!$D28))))^2+Data!$J28^2)-Data!$K28)/1000</f>
        <v>#DIV/0!</v>
      </c>
      <c r="L25" s="39" t="e">
        <f ca="1">(
SQRT((SQRT(GM_primary/OFFSET(Data!$D$7,COLUMN(L25)-2,0))*(SQRT(2*Data!$D28/(OFFSET(Data!$D$7,COLUMN(L25)-2,0)+Data!$D28))-1))^2+OFFSET(Data!$J$7,COLUMN(L25)-2,0)^2)-OFFSET(Data!$K$7,COLUMN(L25)-2,0)
+
SQRT((SQRT(GM_primary/Data!$D28)*(1-SQRT(2*OFFSET(Data!$D$7,COLUMN(L25)-2,0)/(OFFSET(Data!$D$7,COLUMN(L25)-2,0)+Data!$D28))))^2+Data!$J28^2)-Data!$K28)/1000</f>
        <v>#DIV/0!</v>
      </c>
      <c r="M25" s="39" t="e">
        <f ca="1">(
SQRT((SQRT(GM_primary/OFFSET(Data!$D$7,COLUMN(M25)-2,0))*(SQRT(2*Data!$D28/(OFFSET(Data!$D$7,COLUMN(M25)-2,0)+Data!$D28))-1))^2+OFFSET(Data!$J$7,COLUMN(M25)-2,0)^2)-OFFSET(Data!$K$7,COLUMN(M25)-2,0)
+
SQRT((SQRT(GM_primary/Data!$D28)*(1-SQRT(2*OFFSET(Data!$D$7,COLUMN(M25)-2,0)/(OFFSET(Data!$D$7,COLUMN(M25)-2,0)+Data!$D28))))^2+Data!$J28^2)-Data!$K28)/1000</f>
        <v>#DIV/0!</v>
      </c>
      <c r="N25" s="39" t="e">
        <f ca="1">(
SQRT((SQRT(GM_primary/OFFSET(Data!$D$7,COLUMN(N25)-2,0))*(SQRT(2*Data!$D28/(OFFSET(Data!$D$7,COLUMN(N25)-2,0)+Data!$D28))-1))^2+OFFSET(Data!$J$7,COLUMN(N25)-2,0)^2)-OFFSET(Data!$K$7,COLUMN(N25)-2,0)
+
SQRT((SQRT(GM_primary/Data!$D28)*(1-SQRT(2*OFFSET(Data!$D$7,COLUMN(N25)-2,0)/(OFFSET(Data!$D$7,COLUMN(N25)-2,0)+Data!$D28))))^2+Data!$J28^2)-Data!$K28)/1000</f>
        <v>#DIV/0!</v>
      </c>
      <c r="O25" s="39" t="e">
        <f ca="1">(
SQRT((SQRT(GM_primary/OFFSET(Data!$D$7,COLUMN(O25)-2,0))*(SQRT(2*Data!$D28/(OFFSET(Data!$D$7,COLUMN(O25)-2,0)+Data!$D28))-1))^2+OFFSET(Data!$J$7,COLUMN(O25)-2,0)^2)-OFFSET(Data!$K$7,COLUMN(O25)-2,0)
+
SQRT((SQRT(GM_primary/Data!$D28)*(1-SQRT(2*OFFSET(Data!$D$7,COLUMN(O25)-2,0)/(OFFSET(Data!$D$7,COLUMN(O25)-2,0)+Data!$D28))))^2+Data!$J28^2)-Data!$K28)/1000</f>
        <v>#DIV/0!</v>
      </c>
      <c r="P25" s="39" t="e">
        <f ca="1">(
SQRT((SQRT(GM_primary/OFFSET(Data!$D$7,COLUMN(P25)-2,0))*(SQRT(2*Data!$D28/(OFFSET(Data!$D$7,COLUMN(P25)-2,0)+Data!$D28))-1))^2+OFFSET(Data!$J$7,COLUMN(P25)-2,0)^2)-OFFSET(Data!$K$7,COLUMN(P25)-2,0)
+
SQRT((SQRT(GM_primary/Data!$D28)*(1-SQRT(2*OFFSET(Data!$D$7,COLUMN(P25)-2,0)/(OFFSET(Data!$D$7,COLUMN(P25)-2,0)+Data!$D28))))^2+Data!$J28^2)-Data!$K28)/1000</f>
        <v>#DIV/0!</v>
      </c>
      <c r="Q25" s="39" t="e">
        <f ca="1">(
SQRT((SQRT(GM_primary/OFFSET(Data!$D$7,COLUMN(Q25)-2,0))*(SQRT(2*Data!$D28/(OFFSET(Data!$D$7,COLUMN(Q25)-2,0)+Data!$D28))-1))^2+OFFSET(Data!$J$7,COLUMN(Q25)-2,0)^2)-OFFSET(Data!$K$7,COLUMN(Q25)-2,0)
+
SQRT((SQRT(GM_primary/Data!$D28)*(1-SQRT(2*OFFSET(Data!$D$7,COLUMN(Q25)-2,0)/(OFFSET(Data!$D$7,COLUMN(Q25)-2,0)+Data!$D28))))^2+Data!$J28^2)-Data!$K28)/1000</f>
        <v>#DIV/0!</v>
      </c>
      <c r="R25" s="39" t="e">
        <f ca="1">(
SQRT((SQRT(GM_primary/OFFSET(Data!$D$7,COLUMN(R25)-2,0))*(SQRT(2*Data!$D28/(OFFSET(Data!$D$7,COLUMN(R25)-2,0)+Data!$D28))-1))^2+OFFSET(Data!$J$7,COLUMN(R25)-2,0)^2)-OFFSET(Data!$K$7,COLUMN(R25)-2,0)
+
SQRT((SQRT(GM_primary/Data!$D28)*(1-SQRT(2*OFFSET(Data!$D$7,COLUMN(R25)-2,0)/(OFFSET(Data!$D$7,COLUMN(R25)-2,0)+Data!$D28))))^2+Data!$J28^2)-Data!$K28)/1000</f>
        <v>#DIV/0!</v>
      </c>
      <c r="S25" s="39" t="e">
        <f ca="1">(
SQRT((SQRT(GM_primary/OFFSET(Data!$D$7,COLUMN(S25)-2,0))*(SQRT(2*Data!$D28/(OFFSET(Data!$D$7,COLUMN(S25)-2,0)+Data!$D28))-1))^2+OFFSET(Data!$J$7,COLUMN(S25)-2,0)^2)-OFFSET(Data!$K$7,COLUMN(S25)-2,0)
+
SQRT((SQRT(GM_primary/Data!$D28)*(1-SQRT(2*OFFSET(Data!$D$7,COLUMN(S25)-2,0)/(OFFSET(Data!$D$7,COLUMN(S25)-2,0)+Data!$D28))))^2+Data!$J28^2)-Data!$K28)/1000</f>
        <v>#DIV/0!</v>
      </c>
      <c r="T25" s="39" t="e">
        <f ca="1">(
SQRT((SQRT(GM_primary/OFFSET(Data!$D$7,COLUMN(T25)-2,0))*(SQRT(2*Data!$D28/(OFFSET(Data!$D$7,COLUMN(T25)-2,0)+Data!$D28))-1))^2+OFFSET(Data!$J$7,COLUMN(T25)-2,0)^2)-OFFSET(Data!$K$7,COLUMN(T25)-2,0)
+
SQRT((SQRT(GM_primary/Data!$D28)*(1-SQRT(2*OFFSET(Data!$D$7,COLUMN(T25)-2,0)/(OFFSET(Data!$D$7,COLUMN(T25)-2,0)+Data!$D28))))^2+Data!$J28^2)-Data!$K28)/1000</f>
        <v>#DIV/0!</v>
      </c>
      <c r="U25" s="39" t="e">
        <f ca="1">(
SQRT((SQRT(GM_primary/OFFSET(Data!$D$7,COLUMN(U25)-2,0))*(SQRT(2*Data!$D28/(OFFSET(Data!$D$7,COLUMN(U25)-2,0)+Data!$D28))-1))^2+OFFSET(Data!$J$7,COLUMN(U25)-2,0)^2)-OFFSET(Data!$K$7,COLUMN(U25)-2,0)
+
SQRT((SQRT(GM_primary/Data!$D28)*(1-SQRT(2*OFFSET(Data!$D$7,COLUMN(U25)-2,0)/(OFFSET(Data!$D$7,COLUMN(U25)-2,0)+Data!$D28))))^2+Data!$J28^2)-Data!$K28)/1000</f>
        <v>#DIV/0!</v>
      </c>
      <c r="V25" s="39" t="e">
        <f ca="1">(
SQRT((SQRT(GM_primary/OFFSET(Data!$D$7,COLUMN(V25)-2,0))*(SQRT(2*Data!$D28/(OFFSET(Data!$D$7,COLUMN(V25)-2,0)+Data!$D28))-1))^2+OFFSET(Data!$J$7,COLUMN(V25)-2,0)^2)-OFFSET(Data!$K$7,COLUMN(V25)-2,0)
+
SQRT((SQRT(GM_primary/Data!$D28)*(1-SQRT(2*OFFSET(Data!$D$7,COLUMN(V25)-2,0)/(OFFSET(Data!$D$7,COLUMN(V25)-2,0)+Data!$D28))))^2+Data!$J28^2)-Data!$K28)/1000</f>
        <v>#DIV/0!</v>
      </c>
      <c r="W25" s="37" t="e">
        <f>(SQRT(G*Data!$B28/Data!$C28))/1000</f>
        <v>#DIV/0!</v>
      </c>
      <c r="X25" s="40" t="e">
        <f ca="1">W26+orbit22+orbit23</f>
        <v>#DIV/0!</v>
      </c>
      <c r="Y25" s="40" t="e">
        <f ca="1">W27+orbit22+orbit24</f>
        <v>#DIV/0!</v>
      </c>
      <c r="Z25" s="40" t="e">
        <f ca="1">W28+orbit22+orbit25</f>
        <v>#DIV/0!</v>
      </c>
      <c r="AA25" s="40" t="e">
        <f ca="1">W29+orbit22+orbit26</f>
        <v>#DIV/0!</v>
      </c>
      <c r="AB25" s="40" t="e">
        <f ca="1">W30+orbit22+orbit27</f>
        <v>#DIV/0!</v>
      </c>
      <c r="AC25" s="40" t="e">
        <f ca="1">W31+orbit22+orbit28</f>
        <v>#DIV/0!</v>
      </c>
      <c r="AD25" s="40" t="e">
        <f ca="1">W32+orbit22+orbit29</f>
        <v>#DIV/0!</v>
      </c>
      <c r="AE25" s="40" t="e">
        <f ca="1">W33+orbit22+orbit30</f>
        <v>#DIV/0!</v>
      </c>
      <c r="AF25" s="17" t="str">
        <f>Data!A28</f>
        <v>S22</v>
      </c>
    </row>
    <row r="26" spans="1:32" x14ac:dyDescent="0.35">
      <c r="A26" s="5" t="str">
        <f>Data!A29</f>
        <v>S23</v>
      </c>
      <c r="B26" s="41" t="e">
        <f ca="1">(
SQRT((SQRT(GM_primary/OFFSET(Data!$D$7,COLUMN(B26)-2,0))*(SQRT(2*Data!$D29/(OFFSET(Data!$D$7,COLUMN(B26)-2,0)+Data!$D29))-1))^2+OFFSET(Data!$J$7,COLUMN(B26)-2,0)^2)-OFFSET(Data!$K$7,COLUMN(B26)-2,0)
+
SQRT((SQRT(GM_primary/Data!$D29)*(1-SQRT(2*OFFSET(Data!$D$7,COLUMN(B26)-2,0)/(OFFSET(Data!$D$7,COLUMN(B26)-2,0)+Data!$D29))))^2+Data!$J29^2)-Data!$K29)/1000</f>
        <v>#DIV/0!</v>
      </c>
      <c r="C26" s="41" t="e">
        <f ca="1">(
SQRT((SQRT(GM_primary/OFFSET(Data!$D$7,COLUMN(C26)-2,0))*(SQRT(2*Data!$D29/(OFFSET(Data!$D$7,COLUMN(C26)-2,0)+Data!$D29))-1))^2+OFFSET(Data!$J$7,COLUMN(C26)-2,0)^2)-OFFSET(Data!$K$7,COLUMN(C26)-2,0)
+
SQRT((SQRT(GM_primary/Data!$D29)*(1-SQRT(2*OFFSET(Data!$D$7,COLUMN(C26)-2,0)/(OFFSET(Data!$D$7,COLUMN(C26)-2,0)+Data!$D29))))^2+Data!$J29^2)-Data!$K29)/1000</f>
        <v>#DIV/0!</v>
      </c>
      <c r="D26" s="41" t="e">
        <f ca="1">(
SQRT((SQRT(GM_primary/OFFSET(Data!$D$7,COLUMN(D26)-2,0))*(SQRT(2*Data!$D29/(OFFSET(Data!$D$7,COLUMN(D26)-2,0)+Data!$D29))-1))^2+OFFSET(Data!$J$7,COLUMN(D26)-2,0)^2)-OFFSET(Data!$K$7,COLUMN(D26)-2,0)
+
SQRT((SQRT(GM_primary/Data!$D29)*(1-SQRT(2*OFFSET(Data!$D$7,COLUMN(D26)-2,0)/(OFFSET(Data!$D$7,COLUMN(D26)-2,0)+Data!$D29))))^2+Data!$J29^2)-Data!$K29)/1000</f>
        <v>#DIV/0!</v>
      </c>
      <c r="E26" s="41" t="e">
        <f ca="1">(
SQRT((SQRT(GM_primary/OFFSET(Data!$D$7,COLUMN(E26)-2,0))*(SQRT(2*Data!$D29/(OFFSET(Data!$D$7,COLUMN(E26)-2,0)+Data!$D29))-1))^2+OFFSET(Data!$J$7,COLUMN(E26)-2,0)^2)-OFFSET(Data!$K$7,COLUMN(E26)-2,0)
+
SQRT((SQRT(GM_primary/Data!$D29)*(1-SQRT(2*OFFSET(Data!$D$7,COLUMN(E26)-2,0)/(OFFSET(Data!$D$7,COLUMN(E26)-2,0)+Data!$D29))))^2+Data!$J29^2)-Data!$K29)/1000</f>
        <v>#DIV/0!</v>
      </c>
      <c r="F26" s="41" t="e">
        <f ca="1">(
SQRT((SQRT(GM_primary/OFFSET(Data!$D$7,COLUMN(F26)-2,0))*(SQRT(2*Data!$D29/(OFFSET(Data!$D$7,COLUMN(F26)-2,0)+Data!$D29))-1))^2+OFFSET(Data!$J$7,COLUMN(F26)-2,0)^2)-OFFSET(Data!$K$7,COLUMN(F26)-2,0)
+
SQRT((SQRT(GM_primary/Data!$D29)*(1-SQRT(2*OFFSET(Data!$D$7,COLUMN(F26)-2,0)/(OFFSET(Data!$D$7,COLUMN(F26)-2,0)+Data!$D29))))^2+Data!$J29^2)-Data!$K29)/1000</f>
        <v>#DIV/0!</v>
      </c>
      <c r="G26" s="41" t="e">
        <f ca="1">(
SQRT((SQRT(GM_primary/OFFSET(Data!$D$7,COLUMN(G26)-2,0))*(SQRT(2*Data!$D29/(OFFSET(Data!$D$7,COLUMN(G26)-2,0)+Data!$D29))-1))^2+OFFSET(Data!$J$7,COLUMN(G26)-2,0)^2)-OFFSET(Data!$K$7,COLUMN(G26)-2,0)
+
SQRT((SQRT(GM_primary/Data!$D29)*(1-SQRT(2*OFFSET(Data!$D$7,COLUMN(G26)-2,0)/(OFFSET(Data!$D$7,COLUMN(G26)-2,0)+Data!$D29))))^2+Data!$J29^2)-Data!$K29)/1000</f>
        <v>#DIV/0!</v>
      </c>
      <c r="H26" s="41" t="e">
        <f ca="1">(
SQRT((SQRT(GM_primary/OFFSET(Data!$D$7,COLUMN(H26)-2,0))*(SQRT(2*Data!$D29/(OFFSET(Data!$D$7,COLUMN(H26)-2,0)+Data!$D29))-1))^2+OFFSET(Data!$J$7,COLUMN(H26)-2,0)^2)-OFFSET(Data!$K$7,COLUMN(H26)-2,0)
+
SQRT((SQRT(GM_primary/Data!$D29)*(1-SQRT(2*OFFSET(Data!$D$7,COLUMN(H26)-2,0)/(OFFSET(Data!$D$7,COLUMN(H26)-2,0)+Data!$D29))))^2+Data!$J29^2)-Data!$K29)/1000</f>
        <v>#DIV/0!</v>
      </c>
      <c r="I26" s="41" t="e">
        <f ca="1">(
SQRT((SQRT(GM_primary/OFFSET(Data!$D$7,COLUMN(I26)-2,0))*(SQRT(2*Data!$D29/(OFFSET(Data!$D$7,COLUMN(I26)-2,0)+Data!$D29))-1))^2+OFFSET(Data!$J$7,COLUMN(I26)-2,0)^2)-OFFSET(Data!$K$7,COLUMN(I26)-2,0)
+
SQRT((SQRT(GM_primary/Data!$D29)*(1-SQRT(2*OFFSET(Data!$D$7,COLUMN(I26)-2,0)/(OFFSET(Data!$D$7,COLUMN(I26)-2,0)+Data!$D29))))^2+Data!$J29^2)-Data!$K29)/1000</f>
        <v>#DIV/0!</v>
      </c>
      <c r="J26" s="41" t="e">
        <f ca="1">(
SQRT((SQRT(GM_primary/OFFSET(Data!$D$7,COLUMN(J26)-2,0))*(SQRT(2*Data!$D29/(OFFSET(Data!$D$7,COLUMN(J26)-2,0)+Data!$D29))-1))^2+OFFSET(Data!$J$7,COLUMN(J26)-2,0)^2)-OFFSET(Data!$K$7,COLUMN(J26)-2,0)
+
SQRT((SQRT(GM_primary/Data!$D29)*(1-SQRT(2*OFFSET(Data!$D$7,COLUMN(J26)-2,0)/(OFFSET(Data!$D$7,COLUMN(J26)-2,0)+Data!$D29))))^2+Data!$J29^2)-Data!$K29)/1000</f>
        <v>#DIV/0!</v>
      </c>
      <c r="K26" s="41" t="e">
        <f ca="1">(
SQRT((SQRT(GM_primary/OFFSET(Data!$D$7,COLUMN(K26)-2,0))*(SQRT(2*Data!$D29/(OFFSET(Data!$D$7,COLUMN(K26)-2,0)+Data!$D29))-1))^2+OFFSET(Data!$J$7,COLUMN(K26)-2,0)^2)-OFFSET(Data!$K$7,COLUMN(K26)-2,0)
+
SQRT((SQRT(GM_primary/Data!$D29)*(1-SQRT(2*OFFSET(Data!$D$7,COLUMN(K26)-2,0)/(OFFSET(Data!$D$7,COLUMN(K26)-2,0)+Data!$D29))))^2+Data!$J29^2)-Data!$K29)/1000</f>
        <v>#DIV/0!</v>
      </c>
      <c r="L26" s="41" t="e">
        <f ca="1">(
SQRT((SQRT(GM_primary/OFFSET(Data!$D$7,COLUMN(L26)-2,0))*(SQRT(2*Data!$D29/(OFFSET(Data!$D$7,COLUMN(L26)-2,0)+Data!$D29))-1))^2+OFFSET(Data!$J$7,COLUMN(L26)-2,0)^2)-OFFSET(Data!$K$7,COLUMN(L26)-2,0)
+
SQRT((SQRT(GM_primary/Data!$D29)*(1-SQRT(2*OFFSET(Data!$D$7,COLUMN(L26)-2,0)/(OFFSET(Data!$D$7,COLUMN(L26)-2,0)+Data!$D29))))^2+Data!$J29^2)-Data!$K29)/1000</f>
        <v>#DIV/0!</v>
      </c>
      <c r="M26" s="41" t="e">
        <f ca="1">(
SQRT((SQRT(GM_primary/OFFSET(Data!$D$7,COLUMN(M26)-2,0))*(SQRT(2*Data!$D29/(OFFSET(Data!$D$7,COLUMN(M26)-2,0)+Data!$D29))-1))^2+OFFSET(Data!$J$7,COLUMN(M26)-2,0)^2)-OFFSET(Data!$K$7,COLUMN(M26)-2,0)
+
SQRT((SQRT(GM_primary/Data!$D29)*(1-SQRT(2*OFFSET(Data!$D$7,COLUMN(M26)-2,0)/(OFFSET(Data!$D$7,COLUMN(M26)-2,0)+Data!$D29))))^2+Data!$J29^2)-Data!$K29)/1000</f>
        <v>#DIV/0!</v>
      </c>
      <c r="N26" s="41" t="e">
        <f ca="1">(
SQRT((SQRT(GM_primary/OFFSET(Data!$D$7,COLUMN(N26)-2,0))*(SQRT(2*Data!$D29/(OFFSET(Data!$D$7,COLUMN(N26)-2,0)+Data!$D29))-1))^2+OFFSET(Data!$J$7,COLUMN(N26)-2,0)^2)-OFFSET(Data!$K$7,COLUMN(N26)-2,0)
+
SQRT((SQRT(GM_primary/Data!$D29)*(1-SQRT(2*OFFSET(Data!$D$7,COLUMN(N26)-2,0)/(OFFSET(Data!$D$7,COLUMN(N26)-2,0)+Data!$D29))))^2+Data!$J29^2)-Data!$K29)/1000</f>
        <v>#DIV/0!</v>
      </c>
      <c r="O26" s="41" t="e">
        <f ca="1">(
SQRT((SQRT(GM_primary/OFFSET(Data!$D$7,COLUMN(O26)-2,0))*(SQRT(2*Data!$D29/(OFFSET(Data!$D$7,COLUMN(O26)-2,0)+Data!$D29))-1))^2+OFFSET(Data!$J$7,COLUMN(O26)-2,0)^2)-OFFSET(Data!$K$7,COLUMN(O26)-2,0)
+
SQRT((SQRT(GM_primary/Data!$D29)*(1-SQRT(2*OFFSET(Data!$D$7,COLUMN(O26)-2,0)/(OFFSET(Data!$D$7,COLUMN(O26)-2,0)+Data!$D29))))^2+Data!$J29^2)-Data!$K29)/1000</f>
        <v>#DIV/0!</v>
      </c>
      <c r="P26" s="41" t="e">
        <f ca="1">(
SQRT((SQRT(GM_primary/OFFSET(Data!$D$7,COLUMN(P26)-2,0))*(SQRT(2*Data!$D29/(OFFSET(Data!$D$7,COLUMN(P26)-2,0)+Data!$D29))-1))^2+OFFSET(Data!$J$7,COLUMN(P26)-2,0)^2)-OFFSET(Data!$K$7,COLUMN(P26)-2,0)
+
SQRT((SQRT(GM_primary/Data!$D29)*(1-SQRT(2*OFFSET(Data!$D$7,COLUMN(P26)-2,0)/(OFFSET(Data!$D$7,COLUMN(P26)-2,0)+Data!$D29))))^2+Data!$J29^2)-Data!$K29)/1000</f>
        <v>#DIV/0!</v>
      </c>
      <c r="Q26" s="41" t="e">
        <f ca="1">(
SQRT((SQRT(GM_primary/OFFSET(Data!$D$7,COLUMN(Q26)-2,0))*(SQRT(2*Data!$D29/(OFFSET(Data!$D$7,COLUMN(Q26)-2,0)+Data!$D29))-1))^2+OFFSET(Data!$J$7,COLUMN(Q26)-2,0)^2)-OFFSET(Data!$K$7,COLUMN(Q26)-2,0)
+
SQRT((SQRT(GM_primary/Data!$D29)*(1-SQRT(2*OFFSET(Data!$D$7,COLUMN(Q26)-2,0)/(OFFSET(Data!$D$7,COLUMN(Q26)-2,0)+Data!$D29))))^2+Data!$J29^2)-Data!$K29)/1000</f>
        <v>#DIV/0!</v>
      </c>
      <c r="R26" s="41" t="e">
        <f ca="1">(
SQRT((SQRT(GM_primary/OFFSET(Data!$D$7,COLUMN(R26)-2,0))*(SQRT(2*Data!$D29/(OFFSET(Data!$D$7,COLUMN(R26)-2,0)+Data!$D29))-1))^2+OFFSET(Data!$J$7,COLUMN(R26)-2,0)^2)-OFFSET(Data!$K$7,COLUMN(R26)-2,0)
+
SQRT((SQRT(GM_primary/Data!$D29)*(1-SQRT(2*OFFSET(Data!$D$7,COLUMN(R26)-2,0)/(OFFSET(Data!$D$7,COLUMN(R26)-2,0)+Data!$D29))))^2+Data!$J29^2)-Data!$K29)/1000</f>
        <v>#DIV/0!</v>
      </c>
      <c r="S26" s="41" t="e">
        <f ca="1">(
SQRT((SQRT(GM_primary/OFFSET(Data!$D$7,COLUMN(S26)-2,0))*(SQRT(2*Data!$D29/(OFFSET(Data!$D$7,COLUMN(S26)-2,0)+Data!$D29))-1))^2+OFFSET(Data!$J$7,COLUMN(S26)-2,0)^2)-OFFSET(Data!$K$7,COLUMN(S26)-2,0)
+
SQRT((SQRT(GM_primary/Data!$D29)*(1-SQRT(2*OFFSET(Data!$D$7,COLUMN(S26)-2,0)/(OFFSET(Data!$D$7,COLUMN(S26)-2,0)+Data!$D29))))^2+Data!$J29^2)-Data!$K29)/1000</f>
        <v>#DIV/0!</v>
      </c>
      <c r="T26" s="41" t="e">
        <f ca="1">(
SQRT((SQRT(GM_primary/OFFSET(Data!$D$7,COLUMN(T26)-2,0))*(SQRT(2*Data!$D29/(OFFSET(Data!$D$7,COLUMN(T26)-2,0)+Data!$D29))-1))^2+OFFSET(Data!$J$7,COLUMN(T26)-2,0)^2)-OFFSET(Data!$K$7,COLUMN(T26)-2,0)
+
SQRT((SQRT(GM_primary/Data!$D29)*(1-SQRT(2*OFFSET(Data!$D$7,COLUMN(T26)-2,0)/(OFFSET(Data!$D$7,COLUMN(T26)-2,0)+Data!$D29))))^2+Data!$J29^2)-Data!$K29)/1000</f>
        <v>#DIV/0!</v>
      </c>
      <c r="U26" s="41" t="e">
        <f ca="1">(
SQRT((SQRT(GM_primary/OFFSET(Data!$D$7,COLUMN(U26)-2,0))*(SQRT(2*Data!$D29/(OFFSET(Data!$D$7,COLUMN(U26)-2,0)+Data!$D29))-1))^2+OFFSET(Data!$J$7,COLUMN(U26)-2,0)^2)-OFFSET(Data!$K$7,COLUMN(U26)-2,0)
+
SQRT((SQRT(GM_primary/Data!$D29)*(1-SQRT(2*OFFSET(Data!$D$7,COLUMN(U26)-2,0)/(OFFSET(Data!$D$7,COLUMN(U26)-2,0)+Data!$D29))))^2+Data!$J29^2)-Data!$K29)/1000</f>
        <v>#DIV/0!</v>
      </c>
      <c r="V26" s="41" t="e">
        <f ca="1">(
SQRT((SQRT(GM_primary/OFFSET(Data!$D$7,COLUMN(V26)-2,0))*(SQRT(2*Data!$D29/(OFFSET(Data!$D$7,COLUMN(V26)-2,0)+Data!$D29))-1))^2+OFFSET(Data!$J$7,COLUMN(V26)-2,0)^2)-OFFSET(Data!$K$7,COLUMN(V26)-2,0)
+
SQRT((SQRT(GM_primary/Data!$D29)*(1-SQRT(2*OFFSET(Data!$D$7,COLUMN(V26)-2,0)/(OFFSET(Data!$D$7,COLUMN(V26)-2,0)+Data!$D29))))^2+Data!$J29^2)-Data!$K29)/1000</f>
        <v>#DIV/0!</v>
      </c>
      <c r="W26" s="41" t="e">
        <f ca="1">(
SQRT((SQRT(GM_primary/OFFSET(Data!$D$7,COLUMN(W26)-2,0))*(SQRT(2*Data!$D29/(OFFSET(Data!$D$7,COLUMN(W26)-2,0)+Data!$D29))-1))^2+OFFSET(Data!$J$7,COLUMN(W26)-2,0)^2)-OFFSET(Data!$K$7,COLUMN(W26)-2,0)
+
SQRT((SQRT(GM_primary/Data!$D29)*(1-SQRT(2*OFFSET(Data!$D$7,COLUMN(W26)-2,0)/(OFFSET(Data!$D$7,COLUMN(W26)-2,0)+Data!$D29))))^2+Data!$J29^2)-Data!$K29)/1000</f>
        <v>#DIV/0!</v>
      </c>
      <c r="X26" s="37" t="e">
        <f>(SQRT(G*Data!$B29/Data!$C29))/1000</f>
        <v>#DIV/0!</v>
      </c>
      <c r="Y26" s="38" t="e">
        <f ca="1">X27+orbit23+orbit24</f>
        <v>#DIV/0!</v>
      </c>
      <c r="Z26" s="38" t="e">
        <f ca="1">X28+orbit23+orbit25</f>
        <v>#DIV/0!</v>
      </c>
      <c r="AA26" s="38" t="e">
        <f ca="1">X29+orbit23+orbit26</f>
        <v>#DIV/0!</v>
      </c>
      <c r="AB26" s="38" t="e">
        <f ca="1">X30+orbit23+orbit27</f>
        <v>#DIV/0!</v>
      </c>
      <c r="AC26" s="38" t="e">
        <f ca="1">X31+orbit23+orbit28</f>
        <v>#DIV/0!</v>
      </c>
      <c r="AD26" s="38" t="e">
        <f ca="1">X32+orbit23+orbit29</f>
        <v>#DIV/0!</v>
      </c>
      <c r="AE26" s="38" t="e">
        <f ca="1">X33+orbit23+orbit30</f>
        <v>#DIV/0!</v>
      </c>
      <c r="AF26" s="17" t="str">
        <f>Data!A29</f>
        <v>S23</v>
      </c>
    </row>
    <row r="27" spans="1:32" x14ac:dyDescent="0.35">
      <c r="A27" s="5" t="str">
        <f>Data!A30</f>
        <v>S24</v>
      </c>
      <c r="B27" s="39" t="e">
        <f ca="1">(
SQRT((SQRT(GM_primary/OFFSET(Data!$D$7,COLUMN(B27)-2,0))*(SQRT(2*Data!$D30/(OFFSET(Data!$D$7,COLUMN(B27)-2,0)+Data!$D30))-1))^2+OFFSET(Data!$J$7,COLUMN(B27)-2,0)^2)-OFFSET(Data!$K$7,COLUMN(B27)-2,0)
+
SQRT((SQRT(GM_primary/Data!$D30)*(1-SQRT(2*OFFSET(Data!$D$7,COLUMN(B27)-2,0)/(OFFSET(Data!$D$7,COLUMN(B27)-2,0)+Data!$D30))))^2+Data!$J30^2)-Data!$K30)/1000</f>
        <v>#DIV/0!</v>
      </c>
      <c r="C27" s="39" t="e">
        <f ca="1">(
SQRT((SQRT(GM_primary/OFFSET(Data!$D$7,COLUMN(C27)-2,0))*(SQRT(2*Data!$D30/(OFFSET(Data!$D$7,COLUMN(C27)-2,0)+Data!$D30))-1))^2+OFFSET(Data!$J$7,COLUMN(C27)-2,0)^2)-OFFSET(Data!$K$7,COLUMN(C27)-2,0)
+
SQRT((SQRT(GM_primary/Data!$D30)*(1-SQRT(2*OFFSET(Data!$D$7,COLUMN(C27)-2,0)/(OFFSET(Data!$D$7,COLUMN(C27)-2,0)+Data!$D30))))^2+Data!$J30^2)-Data!$K30)/1000</f>
        <v>#DIV/0!</v>
      </c>
      <c r="D27" s="39" t="e">
        <f ca="1">(
SQRT((SQRT(GM_primary/OFFSET(Data!$D$7,COLUMN(D27)-2,0))*(SQRT(2*Data!$D30/(OFFSET(Data!$D$7,COLUMN(D27)-2,0)+Data!$D30))-1))^2+OFFSET(Data!$J$7,COLUMN(D27)-2,0)^2)-OFFSET(Data!$K$7,COLUMN(D27)-2,0)
+
SQRT((SQRT(GM_primary/Data!$D30)*(1-SQRT(2*OFFSET(Data!$D$7,COLUMN(D27)-2,0)/(OFFSET(Data!$D$7,COLUMN(D27)-2,0)+Data!$D30))))^2+Data!$J30^2)-Data!$K30)/1000</f>
        <v>#DIV/0!</v>
      </c>
      <c r="E27" s="39" t="e">
        <f ca="1">(
SQRT((SQRT(GM_primary/OFFSET(Data!$D$7,COLUMN(E27)-2,0))*(SQRT(2*Data!$D30/(OFFSET(Data!$D$7,COLUMN(E27)-2,0)+Data!$D30))-1))^2+OFFSET(Data!$J$7,COLUMN(E27)-2,0)^2)-OFFSET(Data!$K$7,COLUMN(E27)-2,0)
+
SQRT((SQRT(GM_primary/Data!$D30)*(1-SQRT(2*OFFSET(Data!$D$7,COLUMN(E27)-2,0)/(OFFSET(Data!$D$7,COLUMN(E27)-2,0)+Data!$D30))))^2+Data!$J30^2)-Data!$K30)/1000</f>
        <v>#DIV/0!</v>
      </c>
      <c r="F27" s="39" t="e">
        <f ca="1">(
SQRT((SQRT(GM_primary/OFFSET(Data!$D$7,COLUMN(F27)-2,0))*(SQRT(2*Data!$D30/(OFFSET(Data!$D$7,COLUMN(F27)-2,0)+Data!$D30))-1))^2+OFFSET(Data!$J$7,COLUMN(F27)-2,0)^2)-OFFSET(Data!$K$7,COLUMN(F27)-2,0)
+
SQRT((SQRT(GM_primary/Data!$D30)*(1-SQRT(2*OFFSET(Data!$D$7,COLUMN(F27)-2,0)/(OFFSET(Data!$D$7,COLUMN(F27)-2,0)+Data!$D30))))^2+Data!$J30^2)-Data!$K30)/1000</f>
        <v>#DIV/0!</v>
      </c>
      <c r="G27" s="39" t="e">
        <f ca="1">(
SQRT((SQRT(GM_primary/OFFSET(Data!$D$7,COLUMN(G27)-2,0))*(SQRT(2*Data!$D30/(OFFSET(Data!$D$7,COLUMN(G27)-2,0)+Data!$D30))-1))^2+OFFSET(Data!$J$7,COLUMN(G27)-2,0)^2)-OFFSET(Data!$K$7,COLUMN(G27)-2,0)
+
SQRT((SQRT(GM_primary/Data!$D30)*(1-SQRT(2*OFFSET(Data!$D$7,COLUMN(G27)-2,0)/(OFFSET(Data!$D$7,COLUMN(G27)-2,0)+Data!$D30))))^2+Data!$J30^2)-Data!$K30)/1000</f>
        <v>#DIV/0!</v>
      </c>
      <c r="H27" s="39" t="e">
        <f ca="1">(
SQRT((SQRT(GM_primary/OFFSET(Data!$D$7,COLUMN(H27)-2,0))*(SQRT(2*Data!$D30/(OFFSET(Data!$D$7,COLUMN(H27)-2,0)+Data!$D30))-1))^2+OFFSET(Data!$J$7,COLUMN(H27)-2,0)^2)-OFFSET(Data!$K$7,COLUMN(H27)-2,0)
+
SQRT((SQRT(GM_primary/Data!$D30)*(1-SQRT(2*OFFSET(Data!$D$7,COLUMN(H27)-2,0)/(OFFSET(Data!$D$7,COLUMN(H27)-2,0)+Data!$D30))))^2+Data!$J30^2)-Data!$K30)/1000</f>
        <v>#DIV/0!</v>
      </c>
      <c r="I27" s="39" t="e">
        <f ca="1">(
SQRT((SQRT(GM_primary/OFFSET(Data!$D$7,COLUMN(I27)-2,0))*(SQRT(2*Data!$D30/(OFFSET(Data!$D$7,COLUMN(I27)-2,0)+Data!$D30))-1))^2+OFFSET(Data!$J$7,COLUMN(I27)-2,0)^2)-OFFSET(Data!$K$7,COLUMN(I27)-2,0)
+
SQRT((SQRT(GM_primary/Data!$D30)*(1-SQRT(2*OFFSET(Data!$D$7,COLUMN(I27)-2,0)/(OFFSET(Data!$D$7,COLUMN(I27)-2,0)+Data!$D30))))^2+Data!$J30^2)-Data!$K30)/1000</f>
        <v>#DIV/0!</v>
      </c>
      <c r="J27" s="39" t="e">
        <f ca="1">(
SQRT((SQRT(GM_primary/OFFSET(Data!$D$7,COLUMN(J27)-2,0))*(SQRT(2*Data!$D30/(OFFSET(Data!$D$7,COLUMN(J27)-2,0)+Data!$D30))-1))^2+OFFSET(Data!$J$7,COLUMN(J27)-2,0)^2)-OFFSET(Data!$K$7,COLUMN(J27)-2,0)
+
SQRT((SQRT(GM_primary/Data!$D30)*(1-SQRT(2*OFFSET(Data!$D$7,COLUMN(J27)-2,0)/(OFFSET(Data!$D$7,COLUMN(J27)-2,0)+Data!$D30))))^2+Data!$J30^2)-Data!$K30)/1000</f>
        <v>#DIV/0!</v>
      </c>
      <c r="K27" s="39" t="e">
        <f ca="1">(
SQRT((SQRT(GM_primary/OFFSET(Data!$D$7,COLUMN(K27)-2,0))*(SQRT(2*Data!$D30/(OFFSET(Data!$D$7,COLUMN(K27)-2,0)+Data!$D30))-1))^2+OFFSET(Data!$J$7,COLUMN(K27)-2,0)^2)-OFFSET(Data!$K$7,COLUMN(K27)-2,0)
+
SQRT((SQRT(GM_primary/Data!$D30)*(1-SQRT(2*OFFSET(Data!$D$7,COLUMN(K27)-2,0)/(OFFSET(Data!$D$7,COLUMN(K27)-2,0)+Data!$D30))))^2+Data!$J30^2)-Data!$K30)/1000</f>
        <v>#DIV/0!</v>
      </c>
      <c r="L27" s="39" t="e">
        <f ca="1">(
SQRT((SQRT(GM_primary/OFFSET(Data!$D$7,COLUMN(L27)-2,0))*(SQRT(2*Data!$D30/(OFFSET(Data!$D$7,COLUMN(L27)-2,0)+Data!$D30))-1))^2+OFFSET(Data!$J$7,COLUMN(L27)-2,0)^2)-OFFSET(Data!$K$7,COLUMN(L27)-2,0)
+
SQRT((SQRT(GM_primary/Data!$D30)*(1-SQRT(2*OFFSET(Data!$D$7,COLUMN(L27)-2,0)/(OFFSET(Data!$D$7,COLUMN(L27)-2,0)+Data!$D30))))^2+Data!$J30^2)-Data!$K30)/1000</f>
        <v>#DIV/0!</v>
      </c>
      <c r="M27" s="39" t="e">
        <f ca="1">(
SQRT((SQRT(GM_primary/OFFSET(Data!$D$7,COLUMN(M27)-2,0))*(SQRT(2*Data!$D30/(OFFSET(Data!$D$7,COLUMN(M27)-2,0)+Data!$D30))-1))^2+OFFSET(Data!$J$7,COLUMN(M27)-2,0)^2)-OFFSET(Data!$K$7,COLUMN(M27)-2,0)
+
SQRT((SQRT(GM_primary/Data!$D30)*(1-SQRT(2*OFFSET(Data!$D$7,COLUMN(M27)-2,0)/(OFFSET(Data!$D$7,COLUMN(M27)-2,0)+Data!$D30))))^2+Data!$J30^2)-Data!$K30)/1000</f>
        <v>#DIV/0!</v>
      </c>
      <c r="N27" s="39" t="e">
        <f ca="1">(
SQRT((SQRT(GM_primary/OFFSET(Data!$D$7,COLUMN(N27)-2,0))*(SQRT(2*Data!$D30/(OFFSET(Data!$D$7,COLUMN(N27)-2,0)+Data!$D30))-1))^2+OFFSET(Data!$J$7,COLUMN(N27)-2,0)^2)-OFFSET(Data!$K$7,COLUMN(N27)-2,0)
+
SQRT((SQRT(GM_primary/Data!$D30)*(1-SQRT(2*OFFSET(Data!$D$7,COLUMN(N27)-2,0)/(OFFSET(Data!$D$7,COLUMN(N27)-2,0)+Data!$D30))))^2+Data!$J30^2)-Data!$K30)/1000</f>
        <v>#DIV/0!</v>
      </c>
      <c r="O27" s="39" t="e">
        <f ca="1">(
SQRT((SQRT(GM_primary/OFFSET(Data!$D$7,COLUMN(O27)-2,0))*(SQRT(2*Data!$D30/(OFFSET(Data!$D$7,COLUMN(O27)-2,0)+Data!$D30))-1))^2+OFFSET(Data!$J$7,COLUMN(O27)-2,0)^2)-OFFSET(Data!$K$7,COLUMN(O27)-2,0)
+
SQRT((SQRT(GM_primary/Data!$D30)*(1-SQRT(2*OFFSET(Data!$D$7,COLUMN(O27)-2,0)/(OFFSET(Data!$D$7,COLUMN(O27)-2,0)+Data!$D30))))^2+Data!$J30^2)-Data!$K30)/1000</f>
        <v>#DIV/0!</v>
      </c>
      <c r="P27" s="39" t="e">
        <f ca="1">(
SQRT((SQRT(GM_primary/OFFSET(Data!$D$7,COLUMN(P27)-2,0))*(SQRT(2*Data!$D30/(OFFSET(Data!$D$7,COLUMN(P27)-2,0)+Data!$D30))-1))^2+OFFSET(Data!$J$7,COLUMN(P27)-2,0)^2)-OFFSET(Data!$K$7,COLUMN(P27)-2,0)
+
SQRT((SQRT(GM_primary/Data!$D30)*(1-SQRT(2*OFFSET(Data!$D$7,COLUMN(P27)-2,0)/(OFFSET(Data!$D$7,COLUMN(P27)-2,0)+Data!$D30))))^2+Data!$J30^2)-Data!$K30)/1000</f>
        <v>#DIV/0!</v>
      </c>
      <c r="Q27" s="39" t="e">
        <f ca="1">(
SQRT((SQRT(GM_primary/OFFSET(Data!$D$7,COLUMN(Q27)-2,0))*(SQRT(2*Data!$D30/(OFFSET(Data!$D$7,COLUMN(Q27)-2,0)+Data!$D30))-1))^2+OFFSET(Data!$J$7,COLUMN(Q27)-2,0)^2)-OFFSET(Data!$K$7,COLUMN(Q27)-2,0)
+
SQRT((SQRT(GM_primary/Data!$D30)*(1-SQRT(2*OFFSET(Data!$D$7,COLUMN(Q27)-2,0)/(OFFSET(Data!$D$7,COLUMN(Q27)-2,0)+Data!$D30))))^2+Data!$J30^2)-Data!$K30)/1000</f>
        <v>#DIV/0!</v>
      </c>
      <c r="R27" s="39" t="e">
        <f ca="1">(
SQRT((SQRT(GM_primary/OFFSET(Data!$D$7,COLUMN(R27)-2,0))*(SQRT(2*Data!$D30/(OFFSET(Data!$D$7,COLUMN(R27)-2,0)+Data!$D30))-1))^2+OFFSET(Data!$J$7,COLUMN(R27)-2,0)^2)-OFFSET(Data!$K$7,COLUMN(R27)-2,0)
+
SQRT((SQRT(GM_primary/Data!$D30)*(1-SQRT(2*OFFSET(Data!$D$7,COLUMN(R27)-2,0)/(OFFSET(Data!$D$7,COLUMN(R27)-2,0)+Data!$D30))))^2+Data!$J30^2)-Data!$K30)/1000</f>
        <v>#DIV/0!</v>
      </c>
      <c r="S27" s="39" t="e">
        <f ca="1">(
SQRT((SQRT(GM_primary/OFFSET(Data!$D$7,COLUMN(S27)-2,0))*(SQRT(2*Data!$D30/(OFFSET(Data!$D$7,COLUMN(S27)-2,0)+Data!$D30))-1))^2+OFFSET(Data!$J$7,COLUMN(S27)-2,0)^2)-OFFSET(Data!$K$7,COLUMN(S27)-2,0)
+
SQRT((SQRT(GM_primary/Data!$D30)*(1-SQRT(2*OFFSET(Data!$D$7,COLUMN(S27)-2,0)/(OFFSET(Data!$D$7,COLUMN(S27)-2,0)+Data!$D30))))^2+Data!$J30^2)-Data!$K30)/1000</f>
        <v>#DIV/0!</v>
      </c>
      <c r="T27" s="39" t="e">
        <f ca="1">(
SQRT((SQRT(GM_primary/OFFSET(Data!$D$7,COLUMN(T27)-2,0))*(SQRT(2*Data!$D30/(OFFSET(Data!$D$7,COLUMN(T27)-2,0)+Data!$D30))-1))^2+OFFSET(Data!$J$7,COLUMN(T27)-2,0)^2)-OFFSET(Data!$K$7,COLUMN(T27)-2,0)
+
SQRT((SQRT(GM_primary/Data!$D30)*(1-SQRT(2*OFFSET(Data!$D$7,COLUMN(T27)-2,0)/(OFFSET(Data!$D$7,COLUMN(T27)-2,0)+Data!$D30))))^2+Data!$J30^2)-Data!$K30)/1000</f>
        <v>#DIV/0!</v>
      </c>
      <c r="U27" s="39" t="e">
        <f ca="1">(
SQRT((SQRT(GM_primary/OFFSET(Data!$D$7,COLUMN(U27)-2,0))*(SQRT(2*Data!$D30/(OFFSET(Data!$D$7,COLUMN(U27)-2,0)+Data!$D30))-1))^2+OFFSET(Data!$J$7,COLUMN(U27)-2,0)^2)-OFFSET(Data!$K$7,COLUMN(U27)-2,0)
+
SQRT((SQRT(GM_primary/Data!$D30)*(1-SQRT(2*OFFSET(Data!$D$7,COLUMN(U27)-2,0)/(OFFSET(Data!$D$7,COLUMN(U27)-2,0)+Data!$D30))))^2+Data!$J30^2)-Data!$K30)/1000</f>
        <v>#DIV/0!</v>
      </c>
      <c r="V27" s="39" t="e">
        <f ca="1">(
SQRT((SQRT(GM_primary/OFFSET(Data!$D$7,COLUMN(V27)-2,0))*(SQRT(2*Data!$D30/(OFFSET(Data!$D$7,COLUMN(V27)-2,0)+Data!$D30))-1))^2+OFFSET(Data!$J$7,COLUMN(V27)-2,0)^2)-OFFSET(Data!$K$7,COLUMN(V27)-2,0)
+
SQRT((SQRT(GM_primary/Data!$D30)*(1-SQRT(2*OFFSET(Data!$D$7,COLUMN(V27)-2,0)/(OFFSET(Data!$D$7,COLUMN(V27)-2,0)+Data!$D30))))^2+Data!$J30^2)-Data!$K30)/1000</f>
        <v>#DIV/0!</v>
      </c>
      <c r="W27" s="39" t="e">
        <f ca="1">(
SQRT((SQRT(GM_primary/OFFSET(Data!$D$7,COLUMN(W27)-2,0))*(SQRT(2*Data!$D30/(OFFSET(Data!$D$7,COLUMN(W27)-2,0)+Data!$D30))-1))^2+OFFSET(Data!$J$7,COLUMN(W27)-2,0)^2)-OFFSET(Data!$K$7,COLUMN(W27)-2,0)
+
SQRT((SQRT(GM_primary/Data!$D30)*(1-SQRT(2*OFFSET(Data!$D$7,COLUMN(W27)-2,0)/(OFFSET(Data!$D$7,COLUMN(W27)-2,0)+Data!$D30))))^2+Data!$J30^2)-Data!$K30)/1000</f>
        <v>#DIV/0!</v>
      </c>
      <c r="X27" s="39" t="e">
        <f ca="1">(
SQRT((SQRT(GM_primary/OFFSET(Data!$D$7,COLUMN(X27)-2,0))*(SQRT(2*Data!$D30/(OFFSET(Data!$D$7,COLUMN(X27)-2,0)+Data!$D30))-1))^2+OFFSET(Data!$J$7,COLUMN(X27)-2,0)^2)-OFFSET(Data!$K$7,COLUMN(X27)-2,0)
+
SQRT((SQRT(GM_primary/Data!$D30)*(1-SQRT(2*OFFSET(Data!$D$7,COLUMN(X27)-2,0)/(OFFSET(Data!$D$7,COLUMN(X27)-2,0)+Data!$D30))))^2+Data!$J30^2)-Data!$K30)/1000</f>
        <v>#DIV/0!</v>
      </c>
      <c r="Y27" s="37" t="e">
        <f>(SQRT(G*Data!$B30/Data!$C30))/1000</f>
        <v>#DIV/0!</v>
      </c>
      <c r="Z27" s="40" t="e">
        <f ca="1">Y28+orbit24+orbit25</f>
        <v>#DIV/0!</v>
      </c>
      <c r="AA27" s="40" t="e">
        <f ca="1">Y29+orbit24+orbit26</f>
        <v>#DIV/0!</v>
      </c>
      <c r="AB27" s="40" t="e">
        <f ca="1">Y30+orbit24+orbit27</f>
        <v>#DIV/0!</v>
      </c>
      <c r="AC27" s="40" t="e">
        <f ca="1">Y31+orbit24+orbit28</f>
        <v>#DIV/0!</v>
      </c>
      <c r="AD27" s="40" t="e">
        <f ca="1">Y32+orbit24+orbit29</f>
        <v>#DIV/0!</v>
      </c>
      <c r="AE27" s="40" t="e">
        <f ca="1">Y33+orbit24+orbit30</f>
        <v>#DIV/0!</v>
      </c>
      <c r="AF27" s="17" t="str">
        <f>Data!A30</f>
        <v>S24</v>
      </c>
    </row>
    <row r="28" spans="1:32" x14ac:dyDescent="0.35">
      <c r="A28" s="5" t="str">
        <f>Data!A31</f>
        <v>S25</v>
      </c>
      <c r="B28" s="41" t="e">
        <f ca="1">(
SQRT((SQRT(GM_primary/OFFSET(Data!$D$7,COLUMN(B28)-2,0))*(SQRT(2*Data!$D31/(OFFSET(Data!$D$7,COLUMN(B28)-2,0)+Data!$D31))-1))^2+OFFSET(Data!$J$7,COLUMN(B28)-2,0)^2)-OFFSET(Data!$K$7,COLUMN(B28)-2,0)
+
SQRT((SQRT(GM_primary/Data!$D31)*(1-SQRT(2*OFFSET(Data!$D$7,COLUMN(B28)-2,0)/(OFFSET(Data!$D$7,COLUMN(B28)-2,0)+Data!$D31))))^2+Data!$J31^2)-Data!$K31)/1000</f>
        <v>#DIV/0!</v>
      </c>
      <c r="C28" s="41" t="e">
        <f ca="1">(
SQRT((SQRT(GM_primary/OFFSET(Data!$D$7,COLUMN(C28)-2,0))*(SQRT(2*Data!$D31/(OFFSET(Data!$D$7,COLUMN(C28)-2,0)+Data!$D31))-1))^2+OFFSET(Data!$J$7,COLUMN(C28)-2,0)^2)-OFFSET(Data!$K$7,COLUMN(C28)-2,0)
+
SQRT((SQRT(GM_primary/Data!$D31)*(1-SQRT(2*OFFSET(Data!$D$7,COLUMN(C28)-2,0)/(OFFSET(Data!$D$7,COLUMN(C28)-2,0)+Data!$D31))))^2+Data!$J31^2)-Data!$K31)/1000</f>
        <v>#DIV/0!</v>
      </c>
      <c r="D28" s="41" t="e">
        <f ca="1">(
SQRT((SQRT(GM_primary/OFFSET(Data!$D$7,COLUMN(D28)-2,0))*(SQRT(2*Data!$D31/(OFFSET(Data!$D$7,COLUMN(D28)-2,0)+Data!$D31))-1))^2+OFFSET(Data!$J$7,COLUMN(D28)-2,0)^2)-OFFSET(Data!$K$7,COLUMN(D28)-2,0)
+
SQRT((SQRT(GM_primary/Data!$D31)*(1-SQRT(2*OFFSET(Data!$D$7,COLUMN(D28)-2,0)/(OFFSET(Data!$D$7,COLUMN(D28)-2,0)+Data!$D31))))^2+Data!$J31^2)-Data!$K31)/1000</f>
        <v>#DIV/0!</v>
      </c>
      <c r="E28" s="41" t="e">
        <f ca="1">(
SQRT((SQRT(GM_primary/OFFSET(Data!$D$7,COLUMN(E28)-2,0))*(SQRT(2*Data!$D31/(OFFSET(Data!$D$7,COLUMN(E28)-2,0)+Data!$D31))-1))^2+OFFSET(Data!$J$7,COLUMN(E28)-2,0)^2)-OFFSET(Data!$K$7,COLUMN(E28)-2,0)
+
SQRT((SQRT(GM_primary/Data!$D31)*(1-SQRT(2*OFFSET(Data!$D$7,COLUMN(E28)-2,0)/(OFFSET(Data!$D$7,COLUMN(E28)-2,0)+Data!$D31))))^2+Data!$J31^2)-Data!$K31)/1000</f>
        <v>#DIV/0!</v>
      </c>
      <c r="F28" s="41" t="e">
        <f ca="1">(
SQRT((SQRT(GM_primary/OFFSET(Data!$D$7,COLUMN(F28)-2,0))*(SQRT(2*Data!$D31/(OFFSET(Data!$D$7,COLUMN(F28)-2,0)+Data!$D31))-1))^2+OFFSET(Data!$J$7,COLUMN(F28)-2,0)^2)-OFFSET(Data!$K$7,COLUMN(F28)-2,0)
+
SQRT((SQRT(GM_primary/Data!$D31)*(1-SQRT(2*OFFSET(Data!$D$7,COLUMN(F28)-2,0)/(OFFSET(Data!$D$7,COLUMN(F28)-2,0)+Data!$D31))))^2+Data!$J31^2)-Data!$K31)/1000</f>
        <v>#DIV/0!</v>
      </c>
      <c r="G28" s="41" t="e">
        <f ca="1">(
SQRT((SQRT(GM_primary/OFFSET(Data!$D$7,COLUMN(G28)-2,0))*(SQRT(2*Data!$D31/(OFFSET(Data!$D$7,COLUMN(G28)-2,0)+Data!$D31))-1))^2+OFFSET(Data!$J$7,COLUMN(G28)-2,0)^2)-OFFSET(Data!$K$7,COLUMN(G28)-2,0)
+
SQRT((SQRT(GM_primary/Data!$D31)*(1-SQRT(2*OFFSET(Data!$D$7,COLUMN(G28)-2,0)/(OFFSET(Data!$D$7,COLUMN(G28)-2,0)+Data!$D31))))^2+Data!$J31^2)-Data!$K31)/1000</f>
        <v>#DIV/0!</v>
      </c>
      <c r="H28" s="41" t="e">
        <f ca="1">(
SQRT((SQRT(GM_primary/OFFSET(Data!$D$7,COLUMN(H28)-2,0))*(SQRT(2*Data!$D31/(OFFSET(Data!$D$7,COLUMN(H28)-2,0)+Data!$D31))-1))^2+OFFSET(Data!$J$7,COLUMN(H28)-2,0)^2)-OFFSET(Data!$K$7,COLUMN(H28)-2,0)
+
SQRT((SQRT(GM_primary/Data!$D31)*(1-SQRT(2*OFFSET(Data!$D$7,COLUMN(H28)-2,0)/(OFFSET(Data!$D$7,COLUMN(H28)-2,0)+Data!$D31))))^2+Data!$J31^2)-Data!$K31)/1000</f>
        <v>#DIV/0!</v>
      </c>
      <c r="I28" s="41" t="e">
        <f ca="1">(
SQRT((SQRT(GM_primary/OFFSET(Data!$D$7,COLUMN(I28)-2,0))*(SQRT(2*Data!$D31/(OFFSET(Data!$D$7,COLUMN(I28)-2,0)+Data!$D31))-1))^2+OFFSET(Data!$J$7,COLUMN(I28)-2,0)^2)-OFFSET(Data!$K$7,COLUMN(I28)-2,0)
+
SQRT((SQRT(GM_primary/Data!$D31)*(1-SQRT(2*OFFSET(Data!$D$7,COLUMN(I28)-2,0)/(OFFSET(Data!$D$7,COLUMN(I28)-2,0)+Data!$D31))))^2+Data!$J31^2)-Data!$K31)/1000</f>
        <v>#DIV/0!</v>
      </c>
      <c r="J28" s="41" t="e">
        <f ca="1">(
SQRT((SQRT(GM_primary/OFFSET(Data!$D$7,COLUMN(J28)-2,0))*(SQRT(2*Data!$D31/(OFFSET(Data!$D$7,COLUMN(J28)-2,0)+Data!$D31))-1))^2+OFFSET(Data!$J$7,COLUMN(J28)-2,0)^2)-OFFSET(Data!$K$7,COLUMN(J28)-2,0)
+
SQRT((SQRT(GM_primary/Data!$D31)*(1-SQRT(2*OFFSET(Data!$D$7,COLUMN(J28)-2,0)/(OFFSET(Data!$D$7,COLUMN(J28)-2,0)+Data!$D31))))^2+Data!$J31^2)-Data!$K31)/1000</f>
        <v>#DIV/0!</v>
      </c>
      <c r="K28" s="41" t="e">
        <f ca="1">(
SQRT((SQRT(GM_primary/OFFSET(Data!$D$7,COLUMN(K28)-2,0))*(SQRT(2*Data!$D31/(OFFSET(Data!$D$7,COLUMN(K28)-2,0)+Data!$D31))-1))^2+OFFSET(Data!$J$7,COLUMN(K28)-2,0)^2)-OFFSET(Data!$K$7,COLUMN(K28)-2,0)
+
SQRT((SQRT(GM_primary/Data!$D31)*(1-SQRT(2*OFFSET(Data!$D$7,COLUMN(K28)-2,0)/(OFFSET(Data!$D$7,COLUMN(K28)-2,0)+Data!$D31))))^2+Data!$J31^2)-Data!$K31)/1000</f>
        <v>#DIV/0!</v>
      </c>
      <c r="L28" s="41" t="e">
        <f ca="1">(
SQRT((SQRT(GM_primary/OFFSET(Data!$D$7,COLUMN(L28)-2,0))*(SQRT(2*Data!$D31/(OFFSET(Data!$D$7,COLUMN(L28)-2,0)+Data!$D31))-1))^2+OFFSET(Data!$J$7,COLUMN(L28)-2,0)^2)-OFFSET(Data!$K$7,COLUMN(L28)-2,0)
+
SQRT((SQRT(GM_primary/Data!$D31)*(1-SQRT(2*OFFSET(Data!$D$7,COLUMN(L28)-2,0)/(OFFSET(Data!$D$7,COLUMN(L28)-2,0)+Data!$D31))))^2+Data!$J31^2)-Data!$K31)/1000</f>
        <v>#DIV/0!</v>
      </c>
      <c r="M28" s="41" t="e">
        <f ca="1">(
SQRT((SQRT(GM_primary/OFFSET(Data!$D$7,COLUMN(M28)-2,0))*(SQRT(2*Data!$D31/(OFFSET(Data!$D$7,COLUMN(M28)-2,0)+Data!$D31))-1))^2+OFFSET(Data!$J$7,COLUMN(M28)-2,0)^2)-OFFSET(Data!$K$7,COLUMN(M28)-2,0)
+
SQRT((SQRT(GM_primary/Data!$D31)*(1-SQRT(2*OFFSET(Data!$D$7,COLUMN(M28)-2,0)/(OFFSET(Data!$D$7,COLUMN(M28)-2,0)+Data!$D31))))^2+Data!$J31^2)-Data!$K31)/1000</f>
        <v>#DIV/0!</v>
      </c>
      <c r="N28" s="41" t="e">
        <f ca="1">(
SQRT((SQRT(GM_primary/OFFSET(Data!$D$7,COLUMN(N28)-2,0))*(SQRT(2*Data!$D31/(OFFSET(Data!$D$7,COLUMN(N28)-2,0)+Data!$D31))-1))^2+OFFSET(Data!$J$7,COLUMN(N28)-2,0)^2)-OFFSET(Data!$K$7,COLUMN(N28)-2,0)
+
SQRT((SQRT(GM_primary/Data!$D31)*(1-SQRT(2*OFFSET(Data!$D$7,COLUMN(N28)-2,0)/(OFFSET(Data!$D$7,COLUMN(N28)-2,0)+Data!$D31))))^2+Data!$J31^2)-Data!$K31)/1000</f>
        <v>#DIV/0!</v>
      </c>
      <c r="O28" s="41" t="e">
        <f ca="1">(
SQRT((SQRT(GM_primary/OFFSET(Data!$D$7,COLUMN(O28)-2,0))*(SQRT(2*Data!$D31/(OFFSET(Data!$D$7,COLUMN(O28)-2,0)+Data!$D31))-1))^2+OFFSET(Data!$J$7,COLUMN(O28)-2,0)^2)-OFFSET(Data!$K$7,COLUMN(O28)-2,0)
+
SQRT((SQRT(GM_primary/Data!$D31)*(1-SQRT(2*OFFSET(Data!$D$7,COLUMN(O28)-2,0)/(OFFSET(Data!$D$7,COLUMN(O28)-2,0)+Data!$D31))))^2+Data!$J31^2)-Data!$K31)/1000</f>
        <v>#DIV/0!</v>
      </c>
      <c r="P28" s="41" t="e">
        <f ca="1">(
SQRT((SQRT(GM_primary/OFFSET(Data!$D$7,COLUMN(P28)-2,0))*(SQRT(2*Data!$D31/(OFFSET(Data!$D$7,COLUMN(P28)-2,0)+Data!$D31))-1))^2+OFFSET(Data!$J$7,COLUMN(P28)-2,0)^2)-OFFSET(Data!$K$7,COLUMN(P28)-2,0)
+
SQRT((SQRT(GM_primary/Data!$D31)*(1-SQRT(2*OFFSET(Data!$D$7,COLUMN(P28)-2,0)/(OFFSET(Data!$D$7,COLUMN(P28)-2,0)+Data!$D31))))^2+Data!$J31^2)-Data!$K31)/1000</f>
        <v>#DIV/0!</v>
      </c>
      <c r="Q28" s="41" t="e">
        <f ca="1">(
SQRT((SQRT(GM_primary/OFFSET(Data!$D$7,COLUMN(Q28)-2,0))*(SQRT(2*Data!$D31/(OFFSET(Data!$D$7,COLUMN(Q28)-2,0)+Data!$D31))-1))^2+OFFSET(Data!$J$7,COLUMN(Q28)-2,0)^2)-OFFSET(Data!$K$7,COLUMN(Q28)-2,0)
+
SQRT((SQRT(GM_primary/Data!$D31)*(1-SQRT(2*OFFSET(Data!$D$7,COLUMN(Q28)-2,0)/(OFFSET(Data!$D$7,COLUMN(Q28)-2,0)+Data!$D31))))^2+Data!$J31^2)-Data!$K31)/1000</f>
        <v>#DIV/0!</v>
      </c>
      <c r="R28" s="41" t="e">
        <f ca="1">(
SQRT((SQRT(GM_primary/OFFSET(Data!$D$7,COLUMN(R28)-2,0))*(SQRT(2*Data!$D31/(OFFSET(Data!$D$7,COLUMN(R28)-2,0)+Data!$D31))-1))^2+OFFSET(Data!$J$7,COLUMN(R28)-2,0)^2)-OFFSET(Data!$K$7,COLUMN(R28)-2,0)
+
SQRT((SQRT(GM_primary/Data!$D31)*(1-SQRT(2*OFFSET(Data!$D$7,COLUMN(R28)-2,0)/(OFFSET(Data!$D$7,COLUMN(R28)-2,0)+Data!$D31))))^2+Data!$J31^2)-Data!$K31)/1000</f>
        <v>#DIV/0!</v>
      </c>
      <c r="S28" s="41" t="e">
        <f ca="1">(
SQRT((SQRT(GM_primary/OFFSET(Data!$D$7,COLUMN(S28)-2,0))*(SQRT(2*Data!$D31/(OFFSET(Data!$D$7,COLUMN(S28)-2,0)+Data!$D31))-1))^2+OFFSET(Data!$J$7,COLUMN(S28)-2,0)^2)-OFFSET(Data!$K$7,COLUMN(S28)-2,0)
+
SQRT((SQRT(GM_primary/Data!$D31)*(1-SQRT(2*OFFSET(Data!$D$7,COLUMN(S28)-2,0)/(OFFSET(Data!$D$7,COLUMN(S28)-2,0)+Data!$D31))))^2+Data!$J31^2)-Data!$K31)/1000</f>
        <v>#DIV/0!</v>
      </c>
      <c r="T28" s="41" t="e">
        <f ca="1">(
SQRT((SQRT(GM_primary/OFFSET(Data!$D$7,COLUMN(T28)-2,0))*(SQRT(2*Data!$D31/(OFFSET(Data!$D$7,COLUMN(T28)-2,0)+Data!$D31))-1))^2+OFFSET(Data!$J$7,COLUMN(T28)-2,0)^2)-OFFSET(Data!$K$7,COLUMN(T28)-2,0)
+
SQRT((SQRT(GM_primary/Data!$D31)*(1-SQRT(2*OFFSET(Data!$D$7,COLUMN(T28)-2,0)/(OFFSET(Data!$D$7,COLUMN(T28)-2,0)+Data!$D31))))^2+Data!$J31^2)-Data!$K31)/1000</f>
        <v>#DIV/0!</v>
      </c>
      <c r="U28" s="41" t="e">
        <f ca="1">(
SQRT((SQRT(GM_primary/OFFSET(Data!$D$7,COLUMN(U28)-2,0))*(SQRT(2*Data!$D31/(OFFSET(Data!$D$7,COLUMN(U28)-2,0)+Data!$D31))-1))^2+OFFSET(Data!$J$7,COLUMN(U28)-2,0)^2)-OFFSET(Data!$K$7,COLUMN(U28)-2,0)
+
SQRT((SQRT(GM_primary/Data!$D31)*(1-SQRT(2*OFFSET(Data!$D$7,COLUMN(U28)-2,0)/(OFFSET(Data!$D$7,COLUMN(U28)-2,0)+Data!$D31))))^2+Data!$J31^2)-Data!$K31)/1000</f>
        <v>#DIV/0!</v>
      </c>
      <c r="V28" s="41" t="e">
        <f ca="1">(
SQRT((SQRT(GM_primary/OFFSET(Data!$D$7,COLUMN(V28)-2,0))*(SQRT(2*Data!$D31/(OFFSET(Data!$D$7,COLUMN(V28)-2,0)+Data!$D31))-1))^2+OFFSET(Data!$J$7,COLUMN(V28)-2,0)^2)-OFFSET(Data!$K$7,COLUMN(V28)-2,0)
+
SQRT((SQRT(GM_primary/Data!$D31)*(1-SQRT(2*OFFSET(Data!$D$7,COLUMN(V28)-2,0)/(OFFSET(Data!$D$7,COLUMN(V28)-2,0)+Data!$D31))))^2+Data!$J31^2)-Data!$K31)/1000</f>
        <v>#DIV/0!</v>
      </c>
      <c r="W28" s="41" t="e">
        <f ca="1">(
SQRT((SQRT(GM_primary/OFFSET(Data!$D$7,COLUMN(W28)-2,0))*(SQRT(2*Data!$D31/(OFFSET(Data!$D$7,COLUMN(W28)-2,0)+Data!$D31))-1))^2+OFFSET(Data!$J$7,COLUMN(W28)-2,0)^2)-OFFSET(Data!$K$7,COLUMN(W28)-2,0)
+
SQRT((SQRT(GM_primary/Data!$D31)*(1-SQRT(2*OFFSET(Data!$D$7,COLUMN(W28)-2,0)/(OFFSET(Data!$D$7,COLUMN(W28)-2,0)+Data!$D31))))^2+Data!$J31^2)-Data!$K31)/1000</f>
        <v>#DIV/0!</v>
      </c>
      <c r="X28" s="41" t="e">
        <f ca="1">(
SQRT((SQRT(GM_primary/OFFSET(Data!$D$7,COLUMN(X28)-2,0))*(SQRT(2*Data!$D31/(OFFSET(Data!$D$7,COLUMN(X28)-2,0)+Data!$D31))-1))^2+OFFSET(Data!$J$7,COLUMN(X28)-2,0)^2)-OFFSET(Data!$K$7,COLUMN(X28)-2,0)
+
SQRT((SQRT(GM_primary/Data!$D31)*(1-SQRT(2*OFFSET(Data!$D$7,COLUMN(X28)-2,0)/(OFFSET(Data!$D$7,COLUMN(X28)-2,0)+Data!$D31))))^2+Data!$J31^2)-Data!$K31)/1000</f>
        <v>#DIV/0!</v>
      </c>
      <c r="Y28" s="41" t="e">
        <f ca="1">(
SQRT((SQRT(GM_primary/OFFSET(Data!$D$7,COLUMN(Y28)-2,0))*(SQRT(2*Data!$D31/(OFFSET(Data!$D$7,COLUMN(Y28)-2,0)+Data!$D31))-1))^2+OFFSET(Data!$J$7,COLUMN(Y28)-2,0)^2)-OFFSET(Data!$K$7,COLUMN(Y28)-2,0)
+
SQRT((SQRT(GM_primary/Data!$D31)*(1-SQRT(2*OFFSET(Data!$D$7,COLUMN(Y28)-2,0)/(OFFSET(Data!$D$7,COLUMN(Y28)-2,0)+Data!$D31))))^2+Data!$J31^2)-Data!$K31)/1000</f>
        <v>#DIV/0!</v>
      </c>
      <c r="Z28" s="37" t="e">
        <f>(SQRT(G*Data!$B31/Data!$C31))/1000</f>
        <v>#DIV/0!</v>
      </c>
      <c r="AA28" s="38" t="e">
        <f ca="1">Z29+orbit25+orbit26</f>
        <v>#DIV/0!</v>
      </c>
      <c r="AB28" s="38" t="e">
        <f ca="1">Z30+orbit25+orbit27</f>
        <v>#DIV/0!</v>
      </c>
      <c r="AC28" s="38" t="e">
        <f ca="1">Z31+orbit25+orbit28</f>
        <v>#DIV/0!</v>
      </c>
      <c r="AD28" s="38" t="e">
        <f ca="1">Z32+orbit25+orbit29</f>
        <v>#DIV/0!</v>
      </c>
      <c r="AE28" s="38" t="e">
        <f ca="1">Z33+orbit25+orbit30</f>
        <v>#DIV/0!</v>
      </c>
      <c r="AF28" s="17" t="str">
        <f>Data!A31</f>
        <v>S25</v>
      </c>
    </row>
    <row r="29" spans="1:32" x14ac:dyDescent="0.35">
      <c r="A29" s="5" t="str">
        <f>Data!A32</f>
        <v>S26</v>
      </c>
      <c r="B29" s="39" t="e">
        <f ca="1">(
SQRT((SQRT(GM_primary/OFFSET(Data!$D$7,COLUMN(B29)-2,0))*(SQRT(2*Data!$D32/(OFFSET(Data!$D$7,COLUMN(B29)-2,0)+Data!$D32))-1))^2+OFFSET(Data!$J$7,COLUMN(B29)-2,0)^2)-OFFSET(Data!$K$7,COLUMN(B29)-2,0)
+
SQRT((SQRT(GM_primary/Data!$D32)*(1-SQRT(2*OFFSET(Data!$D$7,COLUMN(B29)-2,0)/(OFFSET(Data!$D$7,COLUMN(B29)-2,0)+Data!$D32))))^2+Data!$J32^2)-Data!$K32)/1000</f>
        <v>#DIV/0!</v>
      </c>
      <c r="C29" s="39" t="e">
        <f ca="1">(
SQRT((SQRT(GM_primary/OFFSET(Data!$D$7,COLUMN(C29)-2,0))*(SQRT(2*Data!$D32/(OFFSET(Data!$D$7,COLUMN(C29)-2,0)+Data!$D32))-1))^2+OFFSET(Data!$J$7,COLUMN(C29)-2,0)^2)-OFFSET(Data!$K$7,COLUMN(C29)-2,0)
+
SQRT((SQRT(GM_primary/Data!$D32)*(1-SQRT(2*OFFSET(Data!$D$7,COLUMN(C29)-2,0)/(OFFSET(Data!$D$7,COLUMN(C29)-2,0)+Data!$D32))))^2+Data!$J32^2)-Data!$K32)/1000</f>
        <v>#DIV/0!</v>
      </c>
      <c r="D29" s="39" t="e">
        <f ca="1">(
SQRT((SQRT(GM_primary/OFFSET(Data!$D$7,COLUMN(D29)-2,0))*(SQRT(2*Data!$D32/(OFFSET(Data!$D$7,COLUMN(D29)-2,0)+Data!$D32))-1))^2+OFFSET(Data!$J$7,COLUMN(D29)-2,0)^2)-OFFSET(Data!$K$7,COLUMN(D29)-2,0)
+
SQRT((SQRT(GM_primary/Data!$D32)*(1-SQRT(2*OFFSET(Data!$D$7,COLUMN(D29)-2,0)/(OFFSET(Data!$D$7,COLUMN(D29)-2,0)+Data!$D32))))^2+Data!$J32^2)-Data!$K32)/1000</f>
        <v>#DIV/0!</v>
      </c>
      <c r="E29" s="39" t="e">
        <f ca="1">(
SQRT((SQRT(GM_primary/OFFSET(Data!$D$7,COLUMN(E29)-2,0))*(SQRT(2*Data!$D32/(OFFSET(Data!$D$7,COLUMN(E29)-2,0)+Data!$D32))-1))^2+OFFSET(Data!$J$7,COLUMN(E29)-2,0)^2)-OFFSET(Data!$K$7,COLUMN(E29)-2,0)
+
SQRT((SQRT(GM_primary/Data!$D32)*(1-SQRT(2*OFFSET(Data!$D$7,COLUMN(E29)-2,0)/(OFFSET(Data!$D$7,COLUMN(E29)-2,0)+Data!$D32))))^2+Data!$J32^2)-Data!$K32)/1000</f>
        <v>#DIV/0!</v>
      </c>
      <c r="F29" s="39" t="e">
        <f ca="1">(
SQRT((SQRT(GM_primary/OFFSET(Data!$D$7,COLUMN(F29)-2,0))*(SQRT(2*Data!$D32/(OFFSET(Data!$D$7,COLUMN(F29)-2,0)+Data!$D32))-1))^2+OFFSET(Data!$J$7,COLUMN(F29)-2,0)^2)-OFFSET(Data!$K$7,COLUMN(F29)-2,0)
+
SQRT((SQRT(GM_primary/Data!$D32)*(1-SQRT(2*OFFSET(Data!$D$7,COLUMN(F29)-2,0)/(OFFSET(Data!$D$7,COLUMN(F29)-2,0)+Data!$D32))))^2+Data!$J32^2)-Data!$K32)/1000</f>
        <v>#DIV/0!</v>
      </c>
      <c r="G29" s="39" t="e">
        <f ca="1">(
SQRT((SQRT(GM_primary/OFFSET(Data!$D$7,COLUMN(G29)-2,0))*(SQRT(2*Data!$D32/(OFFSET(Data!$D$7,COLUMN(G29)-2,0)+Data!$D32))-1))^2+OFFSET(Data!$J$7,COLUMN(G29)-2,0)^2)-OFFSET(Data!$K$7,COLUMN(G29)-2,0)
+
SQRT((SQRT(GM_primary/Data!$D32)*(1-SQRT(2*OFFSET(Data!$D$7,COLUMN(G29)-2,0)/(OFFSET(Data!$D$7,COLUMN(G29)-2,0)+Data!$D32))))^2+Data!$J32^2)-Data!$K32)/1000</f>
        <v>#DIV/0!</v>
      </c>
      <c r="H29" s="39" t="e">
        <f ca="1">(
SQRT((SQRT(GM_primary/OFFSET(Data!$D$7,COLUMN(H29)-2,0))*(SQRT(2*Data!$D32/(OFFSET(Data!$D$7,COLUMN(H29)-2,0)+Data!$D32))-1))^2+OFFSET(Data!$J$7,COLUMN(H29)-2,0)^2)-OFFSET(Data!$K$7,COLUMN(H29)-2,0)
+
SQRT((SQRT(GM_primary/Data!$D32)*(1-SQRT(2*OFFSET(Data!$D$7,COLUMN(H29)-2,0)/(OFFSET(Data!$D$7,COLUMN(H29)-2,0)+Data!$D32))))^2+Data!$J32^2)-Data!$K32)/1000</f>
        <v>#DIV/0!</v>
      </c>
      <c r="I29" s="39" t="e">
        <f ca="1">(
SQRT((SQRT(GM_primary/OFFSET(Data!$D$7,COLUMN(I29)-2,0))*(SQRT(2*Data!$D32/(OFFSET(Data!$D$7,COLUMN(I29)-2,0)+Data!$D32))-1))^2+OFFSET(Data!$J$7,COLUMN(I29)-2,0)^2)-OFFSET(Data!$K$7,COLUMN(I29)-2,0)
+
SQRT((SQRT(GM_primary/Data!$D32)*(1-SQRT(2*OFFSET(Data!$D$7,COLUMN(I29)-2,0)/(OFFSET(Data!$D$7,COLUMN(I29)-2,0)+Data!$D32))))^2+Data!$J32^2)-Data!$K32)/1000</f>
        <v>#DIV/0!</v>
      </c>
      <c r="J29" s="39" t="e">
        <f ca="1">(
SQRT((SQRT(GM_primary/OFFSET(Data!$D$7,COLUMN(J29)-2,0))*(SQRT(2*Data!$D32/(OFFSET(Data!$D$7,COLUMN(J29)-2,0)+Data!$D32))-1))^2+OFFSET(Data!$J$7,COLUMN(J29)-2,0)^2)-OFFSET(Data!$K$7,COLUMN(J29)-2,0)
+
SQRT((SQRT(GM_primary/Data!$D32)*(1-SQRT(2*OFFSET(Data!$D$7,COLUMN(J29)-2,0)/(OFFSET(Data!$D$7,COLUMN(J29)-2,0)+Data!$D32))))^2+Data!$J32^2)-Data!$K32)/1000</f>
        <v>#DIV/0!</v>
      </c>
      <c r="K29" s="39" t="e">
        <f ca="1">(
SQRT((SQRT(GM_primary/OFFSET(Data!$D$7,COLUMN(K29)-2,0))*(SQRT(2*Data!$D32/(OFFSET(Data!$D$7,COLUMN(K29)-2,0)+Data!$D32))-1))^2+OFFSET(Data!$J$7,COLUMN(K29)-2,0)^2)-OFFSET(Data!$K$7,COLUMN(K29)-2,0)
+
SQRT((SQRT(GM_primary/Data!$D32)*(1-SQRT(2*OFFSET(Data!$D$7,COLUMN(K29)-2,0)/(OFFSET(Data!$D$7,COLUMN(K29)-2,0)+Data!$D32))))^2+Data!$J32^2)-Data!$K32)/1000</f>
        <v>#DIV/0!</v>
      </c>
      <c r="L29" s="39" t="e">
        <f ca="1">(
SQRT((SQRT(GM_primary/OFFSET(Data!$D$7,COLUMN(L29)-2,0))*(SQRT(2*Data!$D32/(OFFSET(Data!$D$7,COLUMN(L29)-2,0)+Data!$D32))-1))^2+OFFSET(Data!$J$7,COLUMN(L29)-2,0)^2)-OFFSET(Data!$K$7,COLUMN(L29)-2,0)
+
SQRT((SQRT(GM_primary/Data!$D32)*(1-SQRT(2*OFFSET(Data!$D$7,COLUMN(L29)-2,0)/(OFFSET(Data!$D$7,COLUMN(L29)-2,0)+Data!$D32))))^2+Data!$J32^2)-Data!$K32)/1000</f>
        <v>#DIV/0!</v>
      </c>
      <c r="M29" s="39" t="e">
        <f ca="1">(
SQRT((SQRT(GM_primary/OFFSET(Data!$D$7,COLUMN(M29)-2,0))*(SQRT(2*Data!$D32/(OFFSET(Data!$D$7,COLUMN(M29)-2,0)+Data!$D32))-1))^2+OFFSET(Data!$J$7,COLUMN(M29)-2,0)^2)-OFFSET(Data!$K$7,COLUMN(M29)-2,0)
+
SQRT((SQRT(GM_primary/Data!$D32)*(1-SQRT(2*OFFSET(Data!$D$7,COLUMN(M29)-2,0)/(OFFSET(Data!$D$7,COLUMN(M29)-2,0)+Data!$D32))))^2+Data!$J32^2)-Data!$K32)/1000</f>
        <v>#DIV/0!</v>
      </c>
      <c r="N29" s="39" t="e">
        <f ca="1">(
SQRT((SQRT(GM_primary/OFFSET(Data!$D$7,COLUMN(N29)-2,0))*(SQRT(2*Data!$D32/(OFFSET(Data!$D$7,COLUMN(N29)-2,0)+Data!$D32))-1))^2+OFFSET(Data!$J$7,COLUMN(N29)-2,0)^2)-OFFSET(Data!$K$7,COLUMN(N29)-2,0)
+
SQRT((SQRT(GM_primary/Data!$D32)*(1-SQRT(2*OFFSET(Data!$D$7,COLUMN(N29)-2,0)/(OFFSET(Data!$D$7,COLUMN(N29)-2,0)+Data!$D32))))^2+Data!$J32^2)-Data!$K32)/1000</f>
        <v>#DIV/0!</v>
      </c>
      <c r="O29" s="39" t="e">
        <f ca="1">(
SQRT((SQRT(GM_primary/OFFSET(Data!$D$7,COLUMN(O29)-2,0))*(SQRT(2*Data!$D32/(OFFSET(Data!$D$7,COLUMN(O29)-2,0)+Data!$D32))-1))^2+OFFSET(Data!$J$7,COLUMN(O29)-2,0)^2)-OFFSET(Data!$K$7,COLUMN(O29)-2,0)
+
SQRT((SQRT(GM_primary/Data!$D32)*(1-SQRT(2*OFFSET(Data!$D$7,COLUMN(O29)-2,0)/(OFFSET(Data!$D$7,COLUMN(O29)-2,0)+Data!$D32))))^2+Data!$J32^2)-Data!$K32)/1000</f>
        <v>#DIV/0!</v>
      </c>
      <c r="P29" s="39" t="e">
        <f ca="1">(
SQRT((SQRT(GM_primary/OFFSET(Data!$D$7,COLUMN(P29)-2,0))*(SQRT(2*Data!$D32/(OFFSET(Data!$D$7,COLUMN(P29)-2,0)+Data!$D32))-1))^2+OFFSET(Data!$J$7,COLUMN(P29)-2,0)^2)-OFFSET(Data!$K$7,COLUMN(P29)-2,0)
+
SQRT((SQRT(GM_primary/Data!$D32)*(1-SQRT(2*OFFSET(Data!$D$7,COLUMN(P29)-2,0)/(OFFSET(Data!$D$7,COLUMN(P29)-2,0)+Data!$D32))))^2+Data!$J32^2)-Data!$K32)/1000</f>
        <v>#DIV/0!</v>
      </c>
      <c r="Q29" s="39" t="e">
        <f ca="1">(
SQRT((SQRT(GM_primary/OFFSET(Data!$D$7,COLUMN(Q29)-2,0))*(SQRT(2*Data!$D32/(OFFSET(Data!$D$7,COLUMN(Q29)-2,0)+Data!$D32))-1))^2+OFFSET(Data!$J$7,COLUMN(Q29)-2,0)^2)-OFFSET(Data!$K$7,COLUMN(Q29)-2,0)
+
SQRT((SQRT(GM_primary/Data!$D32)*(1-SQRT(2*OFFSET(Data!$D$7,COLUMN(Q29)-2,0)/(OFFSET(Data!$D$7,COLUMN(Q29)-2,0)+Data!$D32))))^2+Data!$J32^2)-Data!$K32)/1000</f>
        <v>#DIV/0!</v>
      </c>
      <c r="R29" s="39" t="e">
        <f ca="1">(
SQRT((SQRT(GM_primary/OFFSET(Data!$D$7,COLUMN(R29)-2,0))*(SQRT(2*Data!$D32/(OFFSET(Data!$D$7,COLUMN(R29)-2,0)+Data!$D32))-1))^2+OFFSET(Data!$J$7,COLUMN(R29)-2,0)^2)-OFFSET(Data!$K$7,COLUMN(R29)-2,0)
+
SQRT((SQRT(GM_primary/Data!$D32)*(1-SQRT(2*OFFSET(Data!$D$7,COLUMN(R29)-2,0)/(OFFSET(Data!$D$7,COLUMN(R29)-2,0)+Data!$D32))))^2+Data!$J32^2)-Data!$K32)/1000</f>
        <v>#DIV/0!</v>
      </c>
      <c r="S29" s="39" t="e">
        <f ca="1">(
SQRT((SQRT(GM_primary/OFFSET(Data!$D$7,COLUMN(S29)-2,0))*(SQRT(2*Data!$D32/(OFFSET(Data!$D$7,COLUMN(S29)-2,0)+Data!$D32))-1))^2+OFFSET(Data!$J$7,COLUMN(S29)-2,0)^2)-OFFSET(Data!$K$7,COLUMN(S29)-2,0)
+
SQRT((SQRT(GM_primary/Data!$D32)*(1-SQRT(2*OFFSET(Data!$D$7,COLUMN(S29)-2,0)/(OFFSET(Data!$D$7,COLUMN(S29)-2,0)+Data!$D32))))^2+Data!$J32^2)-Data!$K32)/1000</f>
        <v>#DIV/0!</v>
      </c>
      <c r="T29" s="39" t="e">
        <f ca="1">(
SQRT((SQRT(GM_primary/OFFSET(Data!$D$7,COLUMN(T29)-2,0))*(SQRT(2*Data!$D32/(OFFSET(Data!$D$7,COLUMN(T29)-2,0)+Data!$D32))-1))^2+OFFSET(Data!$J$7,COLUMN(T29)-2,0)^2)-OFFSET(Data!$K$7,COLUMN(T29)-2,0)
+
SQRT((SQRT(GM_primary/Data!$D32)*(1-SQRT(2*OFFSET(Data!$D$7,COLUMN(T29)-2,0)/(OFFSET(Data!$D$7,COLUMN(T29)-2,0)+Data!$D32))))^2+Data!$J32^2)-Data!$K32)/1000</f>
        <v>#DIV/0!</v>
      </c>
      <c r="U29" s="39" t="e">
        <f ca="1">(
SQRT((SQRT(GM_primary/OFFSET(Data!$D$7,COLUMN(U29)-2,0))*(SQRT(2*Data!$D32/(OFFSET(Data!$D$7,COLUMN(U29)-2,0)+Data!$D32))-1))^2+OFFSET(Data!$J$7,COLUMN(U29)-2,0)^2)-OFFSET(Data!$K$7,COLUMN(U29)-2,0)
+
SQRT((SQRT(GM_primary/Data!$D32)*(1-SQRT(2*OFFSET(Data!$D$7,COLUMN(U29)-2,0)/(OFFSET(Data!$D$7,COLUMN(U29)-2,0)+Data!$D32))))^2+Data!$J32^2)-Data!$K32)/1000</f>
        <v>#DIV/0!</v>
      </c>
      <c r="V29" s="39" t="e">
        <f ca="1">(
SQRT((SQRT(GM_primary/OFFSET(Data!$D$7,COLUMN(V29)-2,0))*(SQRT(2*Data!$D32/(OFFSET(Data!$D$7,COLUMN(V29)-2,0)+Data!$D32))-1))^2+OFFSET(Data!$J$7,COLUMN(V29)-2,0)^2)-OFFSET(Data!$K$7,COLUMN(V29)-2,0)
+
SQRT((SQRT(GM_primary/Data!$D32)*(1-SQRT(2*OFFSET(Data!$D$7,COLUMN(V29)-2,0)/(OFFSET(Data!$D$7,COLUMN(V29)-2,0)+Data!$D32))))^2+Data!$J32^2)-Data!$K32)/1000</f>
        <v>#DIV/0!</v>
      </c>
      <c r="W29" s="39" t="e">
        <f ca="1">(
SQRT((SQRT(GM_primary/OFFSET(Data!$D$7,COLUMN(W29)-2,0))*(SQRT(2*Data!$D32/(OFFSET(Data!$D$7,COLUMN(W29)-2,0)+Data!$D32))-1))^2+OFFSET(Data!$J$7,COLUMN(W29)-2,0)^2)-OFFSET(Data!$K$7,COLUMN(W29)-2,0)
+
SQRT((SQRT(GM_primary/Data!$D32)*(1-SQRT(2*OFFSET(Data!$D$7,COLUMN(W29)-2,0)/(OFFSET(Data!$D$7,COLUMN(W29)-2,0)+Data!$D32))))^2+Data!$J32^2)-Data!$K32)/1000</f>
        <v>#DIV/0!</v>
      </c>
      <c r="X29" s="39" t="e">
        <f ca="1">(
SQRT((SQRT(GM_primary/OFFSET(Data!$D$7,COLUMN(X29)-2,0))*(SQRT(2*Data!$D32/(OFFSET(Data!$D$7,COLUMN(X29)-2,0)+Data!$D32))-1))^2+OFFSET(Data!$J$7,COLUMN(X29)-2,0)^2)-OFFSET(Data!$K$7,COLUMN(X29)-2,0)
+
SQRT((SQRT(GM_primary/Data!$D32)*(1-SQRT(2*OFFSET(Data!$D$7,COLUMN(X29)-2,0)/(OFFSET(Data!$D$7,COLUMN(X29)-2,0)+Data!$D32))))^2+Data!$J32^2)-Data!$K32)/1000</f>
        <v>#DIV/0!</v>
      </c>
      <c r="Y29" s="39" t="e">
        <f ca="1">(
SQRT((SQRT(GM_primary/OFFSET(Data!$D$7,COLUMN(Y29)-2,0))*(SQRT(2*Data!$D32/(OFFSET(Data!$D$7,COLUMN(Y29)-2,0)+Data!$D32))-1))^2+OFFSET(Data!$J$7,COLUMN(Y29)-2,0)^2)-OFFSET(Data!$K$7,COLUMN(Y29)-2,0)
+
SQRT((SQRT(GM_primary/Data!$D32)*(1-SQRT(2*OFFSET(Data!$D$7,COLUMN(Y29)-2,0)/(OFFSET(Data!$D$7,COLUMN(Y29)-2,0)+Data!$D32))))^2+Data!$J32^2)-Data!$K32)/1000</f>
        <v>#DIV/0!</v>
      </c>
      <c r="Z29" s="39" t="e">
        <f ca="1">(
SQRT((SQRT(GM_primary/OFFSET(Data!$D$7,COLUMN(Z29)-2,0))*(SQRT(2*Data!$D32/(OFFSET(Data!$D$7,COLUMN(Z29)-2,0)+Data!$D32))-1))^2+OFFSET(Data!$J$7,COLUMN(Z29)-2,0)^2)-OFFSET(Data!$K$7,COLUMN(Z29)-2,0)
+
SQRT((SQRT(GM_primary/Data!$D32)*(1-SQRT(2*OFFSET(Data!$D$7,COLUMN(Z29)-2,0)/(OFFSET(Data!$D$7,COLUMN(Z29)-2,0)+Data!$D32))))^2+Data!$J32^2)-Data!$K32)/1000</f>
        <v>#DIV/0!</v>
      </c>
      <c r="AA29" s="37" t="e">
        <f>(SQRT(G*Data!$B32/Data!$C32))/1000</f>
        <v>#DIV/0!</v>
      </c>
      <c r="AB29" s="40" t="e">
        <f ca="1">AA30+orbit26+orbit27</f>
        <v>#DIV/0!</v>
      </c>
      <c r="AC29" s="40" t="e">
        <f ca="1">AA31+orbit26+orbit28</f>
        <v>#DIV/0!</v>
      </c>
      <c r="AD29" s="40" t="e">
        <f ca="1">AA32+orbit26+orbit29</f>
        <v>#DIV/0!</v>
      </c>
      <c r="AE29" s="40" t="e">
        <f ca="1">AA33+orbit26+orbit30</f>
        <v>#DIV/0!</v>
      </c>
      <c r="AF29" s="17" t="str">
        <f>Data!A32</f>
        <v>S26</v>
      </c>
    </row>
    <row r="30" spans="1:32" x14ac:dyDescent="0.35">
      <c r="A30" s="5" t="str">
        <f>Data!A33</f>
        <v>S27</v>
      </c>
      <c r="B30" s="41" t="e">
        <f ca="1">(
SQRT((SQRT(GM_primary/OFFSET(Data!$D$7,COLUMN(B30)-2,0))*(SQRT(2*Data!$D33/(OFFSET(Data!$D$7,COLUMN(B30)-2,0)+Data!$D33))-1))^2+OFFSET(Data!$J$7,COLUMN(B30)-2,0)^2)-OFFSET(Data!$K$7,COLUMN(B30)-2,0)
+
SQRT((SQRT(GM_primary/Data!$D33)*(1-SQRT(2*OFFSET(Data!$D$7,COLUMN(B30)-2,0)/(OFFSET(Data!$D$7,COLUMN(B30)-2,0)+Data!$D33))))^2+Data!$J33^2)-Data!$K33)/1000</f>
        <v>#DIV/0!</v>
      </c>
      <c r="C30" s="41" t="e">
        <f ca="1">(
SQRT((SQRT(GM_primary/OFFSET(Data!$D$7,COLUMN(C30)-2,0))*(SQRT(2*Data!$D33/(OFFSET(Data!$D$7,COLUMN(C30)-2,0)+Data!$D33))-1))^2+OFFSET(Data!$J$7,COLUMN(C30)-2,0)^2)-OFFSET(Data!$K$7,COLUMN(C30)-2,0)
+
SQRT((SQRT(GM_primary/Data!$D33)*(1-SQRT(2*OFFSET(Data!$D$7,COLUMN(C30)-2,0)/(OFFSET(Data!$D$7,COLUMN(C30)-2,0)+Data!$D33))))^2+Data!$J33^2)-Data!$K33)/1000</f>
        <v>#DIV/0!</v>
      </c>
      <c r="D30" s="41" t="e">
        <f ca="1">(
SQRT((SQRT(GM_primary/OFFSET(Data!$D$7,COLUMN(D30)-2,0))*(SQRT(2*Data!$D33/(OFFSET(Data!$D$7,COLUMN(D30)-2,0)+Data!$D33))-1))^2+OFFSET(Data!$J$7,COLUMN(D30)-2,0)^2)-OFFSET(Data!$K$7,COLUMN(D30)-2,0)
+
SQRT((SQRT(GM_primary/Data!$D33)*(1-SQRT(2*OFFSET(Data!$D$7,COLUMN(D30)-2,0)/(OFFSET(Data!$D$7,COLUMN(D30)-2,0)+Data!$D33))))^2+Data!$J33^2)-Data!$K33)/1000</f>
        <v>#DIV/0!</v>
      </c>
      <c r="E30" s="41" t="e">
        <f ca="1">(
SQRT((SQRT(GM_primary/OFFSET(Data!$D$7,COLUMN(E30)-2,0))*(SQRT(2*Data!$D33/(OFFSET(Data!$D$7,COLUMN(E30)-2,0)+Data!$D33))-1))^2+OFFSET(Data!$J$7,COLUMN(E30)-2,0)^2)-OFFSET(Data!$K$7,COLUMN(E30)-2,0)
+
SQRT((SQRT(GM_primary/Data!$D33)*(1-SQRT(2*OFFSET(Data!$D$7,COLUMN(E30)-2,0)/(OFFSET(Data!$D$7,COLUMN(E30)-2,0)+Data!$D33))))^2+Data!$J33^2)-Data!$K33)/1000</f>
        <v>#DIV/0!</v>
      </c>
      <c r="F30" s="41" t="e">
        <f ca="1">(
SQRT((SQRT(GM_primary/OFFSET(Data!$D$7,COLUMN(F30)-2,0))*(SQRT(2*Data!$D33/(OFFSET(Data!$D$7,COLUMN(F30)-2,0)+Data!$D33))-1))^2+OFFSET(Data!$J$7,COLUMN(F30)-2,0)^2)-OFFSET(Data!$K$7,COLUMN(F30)-2,0)
+
SQRT((SQRT(GM_primary/Data!$D33)*(1-SQRT(2*OFFSET(Data!$D$7,COLUMN(F30)-2,0)/(OFFSET(Data!$D$7,COLUMN(F30)-2,0)+Data!$D33))))^2+Data!$J33^2)-Data!$K33)/1000</f>
        <v>#DIV/0!</v>
      </c>
      <c r="G30" s="41" t="e">
        <f ca="1">(
SQRT((SQRT(GM_primary/OFFSET(Data!$D$7,COLUMN(G30)-2,0))*(SQRT(2*Data!$D33/(OFFSET(Data!$D$7,COLUMN(G30)-2,0)+Data!$D33))-1))^2+OFFSET(Data!$J$7,COLUMN(G30)-2,0)^2)-OFFSET(Data!$K$7,COLUMN(G30)-2,0)
+
SQRT((SQRT(GM_primary/Data!$D33)*(1-SQRT(2*OFFSET(Data!$D$7,COLUMN(G30)-2,0)/(OFFSET(Data!$D$7,COLUMN(G30)-2,0)+Data!$D33))))^2+Data!$J33^2)-Data!$K33)/1000</f>
        <v>#DIV/0!</v>
      </c>
      <c r="H30" s="41" t="e">
        <f ca="1">(
SQRT((SQRT(GM_primary/OFFSET(Data!$D$7,COLUMN(H30)-2,0))*(SQRT(2*Data!$D33/(OFFSET(Data!$D$7,COLUMN(H30)-2,0)+Data!$D33))-1))^2+OFFSET(Data!$J$7,COLUMN(H30)-2,0)^2)-OFFSET(Data!$K$7,COLUMN(H30)-2,0)
+
SQRT((SQRT(GM_primary/Data!$D33)*(1-SQRT(2*OFFSET(Data!$D$7,COLUMN(H30)-2,0)/(OFFSET(Data!$D$7,COLUMN(H30)-2,0)+Data!$D33))))^2+Data!$J33^2)-Data!$K33)/1000</f>
        <v>#DIV/0!</v>
      </c>
      <c r="I30" s="41" t="e">
        <f ca="1">(
SQRT((SQRT(GM_primary/OFFSET(Data!$D$7,COLUMN(I30)-2,0))*(SQRT(2*Data!$D33/(OFFSET(Data!$D$7,COLUMN(I30)-2,0)+Data!$D33))-1))^2+OFFSET(Data!$J$7,COLUMN(I30)-2,0)^2)-OFFSET(Data!$K$7,COLUMN(I30)-2,0)
+
SQRT((SQRT(GM_primary/Data!$D33)*(1-SQRT(2*OFFSET(Data!$D$7,COLUMN(I30)-2,0)/(OFFSET(Data!$D$7,COLUMN(I30)-2,0)+Data!$D33))))^2+Data!$J33^2)-Data!$K33)/1000</f>
        <v>#DIV/0!</v>
      </c>
      <c r="J30" s="41" t="e">
        <f ca="1">(
SQRT((SQRT(GM_primary/OFFSET(Data!$D$7,COLUMN(J30)-2,0))*(SQRT(2*Data!$D33/(OFFSET(Data!$D$7,COLUMN(J30)-2,0)+Data!$D33))-1))^2+OFFSET(Data!$J$7,COLUMN(J30)-2,0)^2)-OFFSET(Data!$K$7,COLUMN(J30)-2,0)
+
SQRT((SQRT(GM_primary/Data!$D33)*(1-SQRT(2*OFFSET(Data!$D$7,COLUMN(J30)-2,0)/(OFFSET(Data!$D$7,COLUMN(J30)-2,0)+Data!$D33))))^2+Data!$J33^2)-Data!$K33)/1000</f>
        <v>#DIV/0!</v>
      </c>
      <c r="K30" s="41" t="e">
        <f ca="1">(
SQRT((SQRT(GM_primary/OFFSET(Data!$D$7,COLUMN(K30)-2,0))*(SQRT(2*Data!$D33/(OFFSET(Data!$D$7,COLUMN(K30)-2,0)+Data!$D33))-1))^2+OFFSET(Data!$J$7,COLUMN(K30)-2,0)^2)-OFFSET(Data!$K$7,COLUMN(K30)-2,0)
+
SQRT((SQRT(GM_primary/Data!$D33)*(1-SQRT(2*OFFSET(Data!$D$7,COLUMN(K30)-2,0)/(OFFSET(Data!$D$7,COLUMN(K30)-2,0)+Data!$D33))))^2+Data!$J33^2)-Data!$K33)/1000</f>
        <v>#DIV/0!</v>
      </c>
      <c r="L30" s="41" t="e">
        <f ca="1">(
SQRT((SQRT(GM_primary/OFFSET(Data!$D$7,COLUMN(L30)-2,0))*(SQRT(2*Data!$D33/(OFFSET(Data!$D$7,COLUMN(L30)-2,0)+Data!$D33))-1))^2+OFFSET(Data!$J$7,COLUMN(L30)-2,0)^2)-OFFSET(Data!$K$7,COLUMN(L30)-2,0)
+
SQRT((SQRT(GM_primary/Data!$D33)*(1-SQRT(2*OFFSET(Data!$D$7,COLUMN(L30)-2,0)/(OFFSET(Data!$D$7,COLUMN(L30)-2,0)+Data!$D33))))^2+Data!$J33^2)-Data!$K33)/1000</f>
        <v>#DIV/0!</v>
      </c>
      <c r="M30" s="41" t="e">
        <f ca="1">(
SQRT((SQRT(GM_primary/OFFSET(Data!$D$7,COLUMN(M30)-2,0))*(SQRT(2*Data!$D33/(OFFSET(Data!$D$7,COLUMN(M30)-2,0)+Data!$D33))-1))^2+OFFSET(Data!$J$7,COLUMN(M30)-2,0)^2)-OFFSET(Data!$K$7,COLUMN(M30)-2,0)
+
SQRT((SQRT(GM_primary/Data!$D33)*(1-SQRT(2*OFFSET(Data!$D$7,COLUMN(M30)-2,0)/(OFFSET(Data!$D$7,COLUMN(M30)-2,0)+Data!$D33))))^2+Data!$J33^2)-Data!$K33)/1000</f>
        <v>#DIV/0!</v>
      </c>
      <c r="N30" s="41" t="e">
        <f ca="1">(
SQRT((SQRT(GM_primary/OFFSET(Data!$D$7,COLUMN(N30)-2,0))*(SQRT(2*Data!$D33/(OFFSET(Data!$D$7,COLUMN(N30)-2,0)+Data!$D33))-1))^2+OFFSET(Data!$J$7,COLUMN(N30)-2,0)^2)-OFFSET(Data!$K$7,COLUMN(N30)-2,0)
+
SQRT((SQRT(GM_primary/Data!$D33)*(1-SQRT(2*OFFSET(Data!$D$7,COLUMN(N30)-2,0)/(OFFSET(Data!$D$7,COLUMN(N30)-2,0)+Data!$D33))))^2+Data!$J33^2)-Data!$K33)/1000</f>
        <v>#DIV/0!</v>
      </c>
      <c r="O30" s="41" t="e">
        <f ca="1">(
SQRT((SQRT(GM_primary/OFFSET(Data!$D$7,COLUMN(O30)-2,0))*(SQRT(2*Data!$D33/(OFFSET(Data!$D$7,COLUMN(O30)-2,0)+Data!$D33))-1))^2+OFFSET(Data!$J$7,COLUMN(O30)-2,0)^2)-OFFSET(Data!$K$7,COLUMN(O30)-2,0)
+
SQRT((SQRT(GM_primary/Data!$D33)*(1-SQRT(2*OFFSET(Data!$D$7,COLUMN(O30)-2,0)/(OFFSET(Data!$D$7,COLUMN(O30)-2,0)+Data!$D33))))^2+Data!$J33^2)-Data!$K33)/1000</f>
        <v>#DIV/0!</v>
      </c>
      <c r="P30" s="41" t="e">
        <f ca="1">(
SQRT((SQRT(GM_primary/OFFSET(Data!$D$7,COLUMN(P30)-2,0))*(SQRT(2*Data!$D33/(OFFSET(Data!$D$7,COLUMN(P30)-2,0)+Data!$D33))-1))^2+OFFSET(Data!$J$7,COLUMN(P30)-2,0)^2)-OFFSET(Data!$K$7,COLUMN(P30)-2,0)
+
SQRT((SQRT(GM_primary/Data!$D33)*(1-SQRT(2*OFFSET(Data!$D$7,COLUMN(P30)-2,0)/(OFFSET(Data!$D$7,COLUMN(P30)-2,0)+Data!$D33))))^2+Data!$J33^2)-Data!$K33)/1000</f>
        <v>#DIV/0!</v>
      </c>
      <c r="Q30" s="41" t="e">
        <f ca="1">(
SQRT((SQRT(GM_primary/OFFSET(Data!$D$7,COLUMN(Q30)-2,0))*(SQRT(2*Data!$D33/(OFFSET(Data!$D$7,COLUMN(Q30)-2,0)+Data!$D33))-1))^2+OFFSET(Data!$J$7,COLUMN(Q30)-2,0)^2)-OFFSET(Data!$K$7,COLUMN(Q30)-2,0)
+
SQRT((SQRT(GM_primary/Data!$D33)*(1-SQRT(2*OFFSET(Data!$D$7,COLUMN(Q30)-2,0)/(OFFSET(Data!$D$7,COLUMN(Q30)-2,0)+Data!$D33))))^2+Data!$J33^2)-Data!$K33)/1000</f>
        <v>#DIV/0!</v>
      </c>
      <c r="R30" s="41" t="e">
        <f ca="1">(
SQRT((SQRT(GM_primary/OFFSET(Data!$D$7,COLUMN(R30)-2,0))*(SQRT(2*Data!$D33/(OFFSET(Data!$D$7,COLUMN(R30)-2,0)+Data!$D33))-1))^2+OFFSET(Data!$J$7,COLUMN(R30)-2,0)^2)-OFFSET(Data!$K$7,COLUMN(R30)-2,0)
+
SQRT((SQRT(GM_primary/Data!$D33)*(1-SQRT(2*OFFSET(Data!$D$7,COLUMN(R30)-2,0)/(OFFSET(Data!$D$7,COLUMN(R30)-2,0)+Data!$D33))))^2+Data!$J33^2)-Data!$K33)/1000</f>
        <v>#DIV/0!</v>
      </c>
      <c r="S30" s="41" t="e">
        <f ca="1">(
SQRT((SQRT(GM_primary/OFFSET(Data!$D$7,COLUMN(S30)-2,0))*(SQRT(2*Data!$D33/(OFFSET(Data!$D$7,COLUMN(S30)-2,0)+Data!$D33))-1))^2+OFFSET(Data!$J$7,COLUMN(S30)-2,0)^2)-OFFSET(Data!$K$7,COLUMN(S30)-2,0)
+
SQRT((SQRT(GM_primary/Data!$D33)*(1-SQRT(2*OFFSET(Data!$D$7,COLUMN(S30)-2,0)/(OFFSET(Data!$D$7,COLUMN(S30)-2,0)+Data!$D33))))^2+Data!$J33^2)-Data!$K33)/1000</f>
        <v>#DIV/0!</v>
      </c>
      <c r="T30" s="41" t="e">
        <f ca="1">(
SQRT((SQRT(GM_primary/OFFSET(Data!$D$7,COLUMN(T30)-2,0))*(SQRT(2*Data!$D33/(OFFSET(Data!$D$7,COLUMN(T30)-2,0)+Data!$D33))-1))^2+OFFSET(Data!$J$7,COLUMN(T30)-2,0)^2)-OFFSET(Data!$K$7,COLUMN(T30)-2,0)
+
SQRT((SQRT(GM_primary/Data!$D33)*(1-SQRT(2*OFFSET(Data!$D$7,COLUMN(T30)-2,0)/(OFFSET(Data!$D$7,COLUMN(T30)-2,0)+Data!$D33))))^2+Data!$J33^2)-Data!$K33)/1000</f>
        <v>#DIV/0!</v>
      </c>
      <c r="U30" s="41" t="e">
        <f ca="1">(
SQRT((SQRT(GM_primary/OFFSET(Data!$D$7,COLUMN(U30)-2,0))*(SQRT(2*Data!$D33/(OFFSET(Data!$D$7,COLUMN(U30)-2,0)+Data!$D33))-1))^2+OFFSET(Data!$J$7,COLUMN(U30)-2,0)^2)-OFFSET(Data!$K$7,COLUMN(U30)-2,0)
+
SQRT((SQRT(GM_primary/Data!$D33)*(1-SQRT(2*OFFSET(Data!$D$7,COLUMN(U30)-2,0)/(OFFSET(Data!$D$7,COLUMN(U30)-2,0)+Data!$D33))))^2+Data!$J33^2)-Data!$K33)/1000</f>
        <v>#DIV/0!</v>
      </c>
      <c r="V30" s="41" t="e">
        <f ca="1">(
SQRT((SQRT(GM_primary/OFFSET(Data!$D$7,COLUMN(V30)-2,0))*(SQRT(2*Data!$D33/(OFFSET(Data!$D$7,COLUMN(V30)-2,0)+Data!$D33))-1))^2+OFFSET(Data!$J$7,COLUMN(V30)-2,0)^2)-OFFSET(Data!$K$7,COLUMN(V30)-2,0)
+
SQRT((SQRT(GM_primary/Data!$D33)*(1-SQRT(2*OFFSET(Data!$D$7,COLUMN(V30)-2,0)/(OFFSET(Data!$D$7,COLUMN(V30)-2,0)+Data!$D33))))^2+Data!$J33^2)-Data!$K33)/1000</f>
        <v>#DIV/0!</v>
      </c>
      <c r="W30" s="41" t="e">
        <f ca="1">(
SQRT((SQRT(GM_primary/OFFSET(Data!$D$7,COLUMN(W30)-2,0))*(SQRT(2*Data!$D33/(OFFSET(Data!$D$7,COLUMN(W30)-2,0)+Data!$D33))-1))^2+OFFSET(Data!$J$7,COLUMN(W30)-2,0)^2)-OFFSET(Data!$K$7,COLUMN(W30)-2,0)
+
SQRT((SQRT(GM_primary/Data!$D33)*(1-SQRT(2*OFFSET(Data!$D$7,COLUMN(W30)-2,0)/(OFFSET(Data!$D$7,COLUMN(W30)-2,0)+Data!$D33))))^2+Data!$J33^2)-Data!$K33)/1000</f>
        <v>#DIV/0!</v>
      </c>
      <c r="X30" s="41" t="e">
        <f ca="1">(
SQRT((SQRT(GM_primary/OFFSET(Data!$D$7,COLUMN(X30)-2,0))*(SQRT(2*Data!$D33/(OFFSET(Data!$D$7,COLUMN(X30)-2,0)+Data!$D33))-1))^2+OFFSET(Data!$J$7,COLUMN(X30)-2,0)^2)-OFFSET(Data!$K$7,COLUMN(X30)-2,0)
+
SQRT((SQRT(GM_primary/Data!$D33)*(1-SQRT(2*OFFSET(Data!$D$7,COLUMN(X30)-2,0)/(OFFSET(Data!$D$7,COLUMN(X30)-2,0)+Data!$D33))))^2+Data!$J33^2)-Data!$K33)/1000</f>
        <v>#DIV/0!</v>
      </c>
      <c r="Y30" s="41" t="e">
        <f ca="1">(
SQRT((SQRT(GM_primary/OFFSET(Data!$D$7,COLUMN(Y30)-2,0))*(SQRT(2*Data!$D33/(OFFSET(Data!$D$7,COLUMN(Y30)-2,0)+Data!$D33))-1))^2+OFFSET(Data!$J$7,COLUMN(Y30)-2,0)^2)-OFFSET(Data!$K$7,COLUMN(Y30)-2,0)
+
SQRT((SQRT(GM_primary/Data!$D33)*(1-SQRT(2*OFFSET(Data!$D$7,COLUMN(Y30)-2,0)/(OFFSET(Data!$D$7,COLUMN(Y30)-2,0)+Data!$D33))))^2+Data!$J33^2)-Data!$K33)/1000</f>
        <v>#DIV/0!</v>
      </c>
      <c r="Z30" s="41" t="e">
        <f ca="1">(
SQRT((SQRT(GM_primary/OFFSET(Data!$D$7,COLUMN(Z30)-2,0))*(SQRT(2*Data!$D33/(OFFSET(Data!$D$7,COLUMN(Z30)-2,0)+Data!$D33))-1))^2+OFFSET(Data!$J$7,COLUMN(Z30)-2,0)^2)-OFFSET(Data!$K$7,COLUMN(Z30)-2,0)
+
SQRT((SQRT(GM_primary/Data!$D33)*(1-SQRT(2*OFFSET(Data!$D$7,COLUMN(Z30)-2,0)/(OFFSET(Data!$D$7,COLUMN(Z30)-2,0)+Data!$D33))))^2+Data!$J33^2)-Data!$K33)/1000</f>
        <v>#DIV/0!</v>
      </c>
      <c r="AA30" s="41" t="e">
        <f ca="1">(
SQRT((SQRT(GM_primary/OFFSET(Data!$D$7,COLUMN(AA30)-2,0))*(SQRT(2*Data!$D33/(OFFSET(Data!$D$7,COLUMN(AA30)-2,0)+Data!$D33))-1))^2+OFFSET(Data!$J$7,COLUMN(AA30)-2,0)^2)-OFFSET(Data!$K$7,COLUMN(AA30)-2,0)
+
SQRT((SQRT(GM_primary/Data!$D33)*(1-SQRT(2*OFFSET(Data!$D$7,COLUMN(AA30)-2,0)/(OFFSET(Data!$D$7,COLUMN(AA30)-2,0)+Data!$D33))))^2+Data!$J33^2)-Data!$K33)/1000</f>
        <v>#DIV/0!</v>
      </c>
      <c r="AB30" s="37" t="e">
        <f>(SQRT(G*Data!$B33/Data!$C33))/1000</f>
        <v>#DIV/0!</v>
      </c>
      <c r="AC30" s="38" t="e">
        <f ca="1">B31+orbit27+orbit28</f>
        <v>#DIV/0!</v>
      </c>
      <c r="AD30" s="38" t="e">
        <f ca="1">AB32+orbit27+orbit29</f>
        <v>#DIV/0!</v>
      </c>
      <c r="AE30" s="38" t="e">
        <f ca="1">AB33+orbit27+orbit30</f>
        <v>#DIV/0!</v>
      </c>
      <c r="AF30" s="17" t="str">
        <f>Data!A33</f>
        <v>S27</v>
      </c>
    </row>
    <row r="31" spans="1:32" x14ac:dyDescent="0.35">
      <c r="A31" s="5" t="str">
        <f>Data!A34</f>
        <v>S28</v>
      </c>
      <c r="B31" s="39" t="e">
        <f ca="1">(
SQRT((SQRT(GM_primary/OFFSET(Data!$D$7,COLUMN(B31)-2,0))*(SQRT(2*Data!$D34/(OFFSET(Data!$D$7,COLUMN(B31)-2,0)+Data!$D34))-1))^2+OFFSET(Data!$J$7,COLUMN(B31)-2,0)^2)-OFFSET(Data!$K$7,COLUMN(B31)-2,0)
+
SQRT((SQRT(GM_primary/Data!$D34)*(1-SQRT(2*OFFSET(Data!$D$7,COLUMN(B31)-2,0)/(OFFSET(Data!$D$7,COLUMN(B31)-2,0)+Data!$D34))))^2+Data!$J34^2)-Data!$K34)/1000</f>
        <v>#DIV/0!</v>
      </c>
      <c r="C31" s="39" t="e">
        <f ca="1">(
SQRT((SQRT(GM_primary/OFFSET(Data!$D$7,COLUMN(C31)-2,0))*(SQRT(2*Data!$D34/(OFFSET(Data!$D$7,COLUMN(C31)-2,0)+Data!$D34))-1))^2+OFFSET(Data!$J$7,COLUMN(C31)-2,0)^2)-OFFSET(Data!$K$7,COLUMN(C31)-2,0)
+
SQRT((SQRT(GM_primary/Data!$D34)*(1-SQRT(2*OFFSET(Data!$D$7,COLUMN(C31)-2,0)/(OFFSET(Data!$D$7,COLUMN(C31)-2,0)+Data!$D34))))^2+Data!$J34^2)-Data!$K34)/1000</f>
        <v>#DIV/0!</v>
      </c>
      <c r="D31" s="39" t="e">
        <f ca="1">(
SQRT((SQRT(GM_primary/OFFSET(Data!$D$7,COLUMN(D31)-2,0))*(SQRT(2*Data!$D34/(OFFSET(Data!$D$7,COLUMN(D31)-2,0)+Data!$D34))-1))^2+OFFSET(Data!$J$7,COLUMN(D31)-2,0)^2)-OFFSET(Data!$K$7,COLUMN(D31)-2,0)
+
SQRT((SQRT(GM_primary/Data!$D34)*(1-SQRT(2*OFFSET(Data!$D$7,COLUMN(D31)-2,0)/(OFFSET(Data!$D$7,COLUMN(D31)-2,0)+Data!$D34))))^2+Data!$J34^2)-Data!$K34)/1000</f>
        <v>#DIV/0!</v>
      </c>
      <c r="E31" s="39" t="e">
        <f ca="1">(
SQRT((SQRT(GM_primary/OFFSET(Data!$D$7,COLUMN(E31)-2,0))*(SQRT(2*Data!$D34/(OFFSET(Data!$D$7,COLUMN(E31)-2,0)+Data!$D34))-1))^2+OFFSET(Data!$J$7,COLUMN(E31)-2,0)^2)-OFFSET(Data!$K$7,COLUMN(E31)-2,0)
+
SQRT((SQRT(GM_primary/Data!$D34)*(1-SQRT(2*OFFSET(Data!$D$7,COLUMN(E31)-2,0)/(OFFSET(Data!$D$7,COLUMN(E31)-2,0)+Data!$D34))))^2+Data!$J34^2)-Data!$K34)/1000</f>
        <v>#DIV/0!</v>
      </c>
      <c r="F31" s="39" t="e">
        <f ca="1">(
SQRT((SQRT(GM_primary/OFFSET(Data!$D$7,COLUMN(F31)-2,0))*(SQRT(2*Data!$D34/(OFFSET(Data!$D$7,COLUMN(F31)-2,0)+Data!$D34))-1))^2+OFFSET(Data!$J$7,COLUMN(F31)-2,0)^2)-OFFSET(Data!$K$7,COLUMN(F31)-2,0)
+
SQRT((SQRT(GM_primary/Data!$D34)*(1-SQRT(2*OFFSET(Data!$D$7,COLUMN(F31)-2,0)/(OFFSET(Data!$D$7,COLUMN(F31)-2,0)+Data!$D34))))^2+Data!$J34^2)-Data!$K34)/1000</f>
        <v>#DIV/0!</v>
      </c>
      <c r="G31" s="39" t="e">
        <f ca="1">(
SQRT((SQRT(GM_primary/OFFSET(Data!$D$7,COLUMN(G31)-2,0))*(SQRT(2*Data!$D34/(OFFSET(Data!$D$7,COLUMN(G31)-2,0)+Data!$D34))-1))^2+OFFSET(Data!$J$7,COLUMN(G31)-2,0)^2)-OFFSET(Data!$K$7,COLUMN(G31)-2,0)
+
SQRT((SQRT(GM_primary/Data!$D34)*(1-SQRT(2*OFFSET(Data!$D$7,COLUMN(G31)-2,0)/(OFFSET(Data!$D$7,COLUMN(G31)-2,0)+Data!$D34))))^2+Data!$J34^2)-Data!$K34)/1000</f>
        <v>#DIV/0!</v>
      </c>
      <c r="H31" s="39" t="e">
        <f ca="1">(
SQRT((SQRT(GM_primary/OFFSET(Data!$D$7,COLUMN(H31)-2,0))*(SQRT(2*Data!$D34/(OFFSET(Data!$D$7,COLUMN(H31)-2,0)+Data!$D34))-1))^2+OFFSET(Data!$J$7,COLUMN(H31)-2,0)^2)-OFFSET(Data!$K$7,COLUMN(H31)-2,0)
+
SQRT((SQRT(GM_primary/Data!$D34)*(1-SQRT(2*OFFSET(Data!$D$7,COLUMN(H31)-2,0)/(OFFSET(Data!$D$7,COLUMN(H31)-2,0)+Data!$D34))))^2+Data!$J34^2)-Data!$K34)/1000</f>
        <v>#DIV/0!</v>
      </c>
      <c r="I31" s="39" t="e">
        <f ca="1">(
SQRT((SQRT(GM_primary/OFFSET(Data!$D$7,COLUMN(I31)-2,0))*(SQRT(2*Data!$D34/(OFFSET(Data!$D$7,COLUMN(I31)-2,0)+Data!$D34))-1))^2+OFFSET(Data!$J$7,COLUMN(I31)-2,0)^2)-OFFSET(Data!$K$7,COLUMN(I31)-2,0)
+
SQRT((SQRT(GM_primary/Data!$D34)*(1-SQRT(2*OFFSET(Data!$D$7,COLUMN(I31)-2,0)/(OFFSET(Data!$D$7,COLUMN(I31)-2,0)+Data!$D34))))^2+Data!$J34^2)-Data!$K34)/1000</f>
        <v>#DIV/0!</v>
      </c>
      <c r="J31" s="39" t="e">
        <f ca="1">(
SQRT((SQRT(GM_primary/OFFSET(Data!$D$7,COLUMN(J31)-2,0))*(SQRT(2*Data!$D34/(OFFSET(Data!$D$7,COLUMN(J31)-2,0)+Data!$D34))-1))^2+OFFSET(Data!$J$7,COLUMN(J31)-2,0)^2)-OFFSET(Data!$K$7,COLUMN(J31)-2,0)
+
SQRT((SQRT(GM_primary/Data!$D34)*(1-SQRT(2*OFFSET(Data!$D$7,COLUMN(J31)-2,0)/(OFFSET(Data!$D$7,COLUMN(J31)-2,0)+Data!$D34))))^2+Data!$J34^2)-Data!$K34)/1000</f>
        <v>#DIV/0!</v>
      </c>
      <c r="K31" s="39" t="e">
        <f ca="1">(
SQRT((SQRT(GM_primary/OFFSET(Data!$D$7,COLUMN(K31)-2,0))*(SQRT(2*Data!$D34/(OFFSET(Data!$D$7,COLUMN(K31)-2,0)+Data!$D34))-1))^2+OFFSET(Data!$J$7,COLUMN(K31)-2,0)^2)-OFFSET(Data!$K$7,COLUMN(K31)-2,0)
+
SQRT((SQRT(GM_primary/Data!$D34)*(1-SQRT(2*OFFSET(Data!$D$7,COLUMN(K31)-2,0)/(OFFSET(Data!$D$7,COLUMN(K31)-2,0)+Data!$D34))))^2+Data!$J34^2)-Data!$K34)/1000</f>
        <v>#DIV/0!</v>
      </c>
      <c r="L31" s="39" t="e">
        <f ca="1">(
SQRT((SQRT(GM_primary/OFFSET(Data!$D$7,COLUMN(L31)-2,0))*(SQRT(2*Data!$D34/(OFFSET(Data!$D$7,COLUMN(L31)-2,0)+Data!$D34))-1))^2+OFFSET(Data!$J$7,COLUMN(L31)-2,0)^2)-OFFSET(Data!$K$7,COLUMN(L31)-2,0)
+
SQRT((SQRT(GM_primary/Data!$D34)*(1-SQRT(2*OFFSET(Data!$D$7,COLUMN(L31)-2,0)/(OFFSET(Data!$D$7,COLUMN(L31)-2,0)+Data!$D34))))^2+Data!$J34^2)-Data!$K34)/1000</f>
        <v>#DIV/0!</v>
      </c>
      <c r="M31" s="39" t="e">
        <f ca="1">(
SQRT((SQRT(GM_primary/OFFSET(Data!$D$7,COLUMN(M31)-2,0))*(SQRT(2*Data!$D34/(OFFSET(Data!$D$7,COLUMN(M31)-2,0)+Data!$D34))-1))^2+OFFSET(Data!$J$7,COLUMN(M31)-2,0)^2)-OFFSET(Data!$K$7,COLUMN(M31)-2,0)
+
SQRT((SQRT(GM_primary/Data!$D34)*(1-SQRT(2*OFFSET(Data!$D$7,COLUMN(M31)-2,0)/(OFFSET(Data!$D$7,COLUMN(M31)-2,0)+Data!$D34))))^2+Data!$J34^2)-Data!$K34)/1000</f>
        <v>#DIV/0!</v>
      </c>
      <c r="N31" s="39" t="e">
        <f ca="1">(
SQRT((SQRT(GM_primary/OFFSET(Data!$D$7,COLUMN(N31)-2,0))*(SQRT(2*Data!$D34/(OFFSET(Data!$D$7,COLUMN(N31)-2,0)+Data!$D34))-1))^2+OFFSET(Data!$J$7,COLUMN(N31)-2,0)^2)-OFFSET(Data!$K$7,COLUMN(N31)-2,0)
+
SQRT((SQRT(GM_primary/Data!$D34)*(1-SQRT(2*OFFSET(Data!$D$7,COLUMN(N31)-2,0)/(OFFSET(Data!$D$7,COLUMN(N31)-2,0)+Data!$D34))))^2+Data!$J34^2)-Data!$K34)/1000</f>
        <v>#DIV/0!</v>
      </c>
      <c r="O31" s="39" t="e">
        <f ca="1">(
SQRT((SQRT(GM_primary/OFFSET(Data!$D$7,COLUMN(O31)-2,0))*(SQRT(2*Data!$D34/(OFFSET(Data!$D$7,COLUMN(O31)-2,0)+Data!$D34))-1))^2+OFFSET(Data!$J$7,COLUMN(O31)-2,0)^2)-OFFSET(Data!$K$7,COLUMN(O31)-2,0)
+
SQRT((SQRT(GM_primary/Data!$D34)*(1-SQRT(2*OFFSET(Data!$D$7,COLUMN(O31)-2,0)/(OFFSET(Data!$D$7,COLUMN(O31)-2,0)+Data!$D34))))^2+Data!$J34^2)-Data!$K34)/1000</f>
        <v>#DIV/0!</v>
      </c>
      <c r="P31" s="39" t="e">
        <f ca="1">(
SQRT((SQRT(GM_primary/OFFSET(Data!$D$7,COLUMN(P31)-2,0))*(SQRT(2*Data!$D34/(OFFSET(Data!$D$7,COLUMN(P31)-2,0)+Data!$D34))-1))^2+OFFSET(Data!$J$7,COLUMN(P31)-2,0)^2)-OFFSET(Data!$K$7,COLUMN(P31)-2,0)
+
SQRT((SQRT(GM_primary/Data!$D34)*(1-SQRT(2*OFFSET(Data!$D$7,COLUMN(P31)-2,0)/(OFFSET(Data!$D$7,COLUMN(P31)-2,0)+Data!$D34))))^2+Data!$J34^2)-Data!$K34)/1000</f>
        <v>#DIV/0!</v>
      </c>
      <c r="Q31" s="39" t="e">
        <f ca="1">(
SQRT((SQRT(GM_primary/OFFSET(Data!$D$7,COLUMN(Q31)-2,0))*(SQRT(2*Data!$D34/(OFFSET(Data!$D$7,COLUMN(Q31)-2,0)+Data!$D34))-1))^2+OFFSET(Data!$J$7,COLUMN(Q31)-2,0)^2)-OFFSET(Data!$K$7,COLUMN(Q31)-2,0)
+
SQRT((SQRT(GM_primary/Data!$D34)*(1-SQRT(2*OFFSET(Data!$D$7,COLUMN(Q31)-2,0)/(OFFSET(Data!$D$7,COLUMN(Q31)-2,0)+Data!$D34))))^2+Data!$J34^2)-Data!$K34)/1000</f>
        <v>#DIV/0!</v>
      </c>
      <c r="R31" s="39" t="e">
        <f ca="1">(
SQRT((SQRT(GM_primary/OFFSET(Data!$D$7,COLUMN(R31)-2,0))*(SQRT(2*Data!$D34/(OFFSET(Data!$D$7,COLUMN(R31)-2,0)+Data!$D34))-1))^2+OFFSET(Data!$J$7,COLUMN(R31)-2,0)^2)-OFFSET(Data!$K$7,COLUMN(R31)-2,0)
+
SQRT((SQRT(GM_primary/Data!$D34)*(1-SQRT(2*OFFSET(Data!$D$7,COLUMN(R31)-2,0)/(OFFSET(Data!$D$7,COLUMN(R31)-2,0)+Data!$D34))))^2+Data!$J34^2)-Data!$K34)/1000</f>
        <v>#DIV/0!</v>
      </c>
      <c r="S31" s="39" t="e">
        <f ca="1">(
SQRT((SQRT(GM_primary/OFFSET(Data!$D$7,COLUMN(S31)-2,0))*(SQRT(2*Data!$D34/(OFFSET(Data!$D$7,COLUMN(S31)-2,0)+Data!$D34))-1))^2+OFFSET(Data!$J$7,COLUMN(S31)-2,0)^2)-OFFSET(Data!$K$7,COLUMN(S31)-2,0)
+
SQRT((SQRT(GM_primary/Data!$D34)*(1-SQRT(2*OFFSET(Data!$D$7,COLUMN(S31)-2,0)/(OFFSET(Data!$D$7,COLUMN(S31)-2,0)+Data!$D34))))^2+Data!$J34^2)-Data!$K34)/1000</f>
        <v>#DIV/0!</v>
      </c>
      <c r="T31" s="39" t="e">
        <f ca="1">(
SQRT((SQRT(GM_primary/OFFSET(Data!$D$7,COLUMN(T31)-2,0))*(SQRT(2*Data!$D34/(OFFSET(Data!$D$7,COLUMN(T31)-2,0)+Data!$D34))-1))^2+OFFSET(Data!$J$7,COLUMN(T31)-2,0)^2)-OFFSET(Data!$K$7,COLUMN(T31)-2,0)
+
SQRT((SQRT(GM_primary/Data!$D34)*(1-SQRT(2*OFFSET(Data!$D$7,COLUMN(T31)-2,0)/(OFFSET(Data!$D$7,COLUMN(T31)-2,0)+Data!$D34))))^2+Data!$J34^2)-Data!$K34)/1000</f>
        <v>#DIV/0!</v>
      </c>
      <c r="U31" s="39" t="e">
        <f ca="1">(
SQRT((SQRT(GM_primary/OFFSET(Data!$D$7,COLUMN(U31)-2,0))*(SQRT(2*Data!$D34/(OFFSET(Data!$D$7,COLUMN(U31)-2,0)+Data!$D34))-1))^2+OFFSET(Data!$J$7,COLUMN(U31)-2,0)^2)-OFFSET(Data!$K$7,COLUMN(U31)-2,0)
+
SQRT((SQRT(GM_primary/Data!$D34)*(1-SQRT(2*OFFSET(Data!$D$7,COLUMN(U31)-2,0)/(OFFSET(Data!$D$7,COLUMN(U31)-2,0)+Data!$D34))))^2+Data!$J34^2)-Data!$K34)/1000</f>
        <v>#DIV/0!</v>
      </c>
      <c r="V31" s="39" t="e">
        <f ca="1">(
SQRT((SQRT(GM_primary/OFFSET(Data!$D$7,COLUMN(V31)-2,0))*(SQRT(2*Data!$D34/(OFFSET(Data!$D$7,COLUMN(V31)-2,0)+Data!$D34))-1))^2+OFFSET(Data!$J$7,COLUMN(V31)-2,0)^2)-OFFSET(Data!$K$7,COLUMN(V31)-2,0)
+
SQRT((SQRT(GM_primary/Data!$D34)*(1-SQRT(2*OFFSET(Data!$D$7,COLUMN(V31)-2,0)/(OFFSET(Data!$D$7,COLUMN(V31)-2,0)+Data!$D34))))^2+Data!$J34^2)-Data!$K34)/1000</f>
        <v>#DIV/0!</v>
      </c>
      <c r="W31" s="39" t="e">
        <f ca="1">(
SQRT((SQRT(GM_primary/OFFSET(Data!$D$7,COLUMN(W31)-2,0))*(SQRT(2*Data!$D34/(OFFSET(Data!$D$7,COLUMN(W31)-2,0)+Data!$D34))-1))^2+OFFSET(Data!$J$7,COLUMN(W31)-2,0)^2)-OFFSET(Data!$K$7,COLUMN(W31)-2,0)
+
SQRT((SQRT(GM_primary/Data!$D34)*(1-SQRT(2*OFFSET(Data!$D$7,COLUMN(W31)-2,0)/(OFFSET(Data!$D$7,COLUMN(W31)-2,0)+Data!$D34))))^2+Data!$J34^2)-Data!$K34)/1000</f>
        <v>#DIV/0!</v>
      </c>
      <c r="X31" s="39" t="e">
        <f ca="1">(
SQRT((SQRT(GM_primary/OFFSET(Data!$D$7,COLUMN(X31)-2,0))*(SQRT(2*Data!$D34/(OFFSET(Data!$D$7,COLUMN(X31)-2,0)+Data!$D34))-1))^2+OFFSET(Data!$J$7,COLUMN(X31)-2,0)^2)-OFFSET(Data!$K$7,COLUMN(X31)-2,0)
+
SQRT((SQRT(GM_primary/Data!$D34)*(1-SQRT(2*OFFSET(Data!$D$7,COLUMN(X31)-2,0)/(OFFSET(Data!$D$7,COLUMN(X31)-2,0)+Data!$D34))))^2+Data!$J34^2)-Data!$K34)/1000</f>
        <v>#DIV/0!</v>
      </c>
      <c r="Y31" s="39" t="e">
        <f ca="1">(
SQRT((SQRT(GM_primary/OFFSET(Data!$D$7,COLUMN(Y31)-2,0))*(SQRT(2*Data!$D34/(OFFSET(Data!$D$7,COLUMN(Y31)-2,0)+Data!$D34))-1))^2+OFFSET(Data!$J$7,COLUMN(Y31)-2,0)^2)-OFFSET(Data!$K$7,COLUMN(Y31)-2,0)
+
SQRT((SQRT(GM_primary/Data!$D34)*(1-SQRT(2*OFFSET(Data!$D$7,COLUMN(Y31)-2,0)/(OFFSET(Data!$D$7,COLUMN(Y31)-2,0)+Data!$D34))))^2+Data!$J34^2)-Data!$K34)/1000</f>
        <v>#DIV/0!</v>
      </c>
      <c r="Z31" s="39" t="e">
        <f ca="1">(
SQRT((SQRT(GM_primary/OFFSET(Data!$D$7,COLUMN(Z31)-2,0))*(SQRT(2*Data!$D34/(OFFSET(Data!$D$7,COLUMN(Z31)-2,0)+Data!$D34))-1))^2+OFFSET(Data!$J$7,COLUMN(Z31)-2,0)^2)-OFFSET(Data!$K$7,COLUMN(Z31)-2,0)
+
SQRT((SQRT(GM_primary/Data!$D34)*(1-SQRT(2*OFFSET(Data!$D$7,COLUMN(Z31)-2,0)/(OFFSET(Data!$D$7,COLUMN(Z31)-2,0)+Data!$D34))))^2+Data!$J34^2)-Data!$K34)/1000</f>
        <v>#DIV/0!</v>
      </c>
      <c r="AA31" s="39" t="e">
        <f ca="1">(
SQRT((SQRT(GM_primary/OFFSET(Data!$D$7,COLUMN(AA31)-2,0))*(SQRT(2*Data!$D34/(OFFSET(Data!$D$7,COLUMN(AA31)-2,0)+Data!$D34))-1))^2+OFFSET(Data!$J$7,COLUMN(AA31)-2,0)^2)-OFFSET(Data!$K$7,COLUMN(AA31)-2,0)
+
SQRT((SQRT(GM_primary/Data!$D34)*(1-SQRT(2*OFFSET(Data!$D$7,COLUMN(AA31)-2,0)/(OFFSET(Data!$D$7,COLUMN(AA31)-2,0)+Data!$D34))))^2+Data!$J34^2)-Data!$K34)/1000</f>
        <v>#DIV/0!</v>
      </c>
      <c r="AB31" s="39" t="e">
        <f ca="1">(
SQRT((SQRT(GM_primary/OFFSET(Data!$D$7,COLUMN(AB31)-2,0))*(SQRT(2*Data!$D34/(OFFSET(Data!$D$7,COLUMN(AB31)-2,0)+Data!$D34))-1))^2+OFFSET(Data!$J$7,COLUMN(AB31)-2,0)^2)-OFFSET(Data!$K$7,COLUMN(AB31)-2,0)
+
SQRT((SQRT(GM_primary/Data!$D34)*(1-SQRT(2*OFFSET(Data!$D$7,COLUMN(AB31)-2,0)/(OFFSET(Data!$D$7,COLUMN(AB31)-2,0)+Data!$D34))))^2+Data!$J34^2)-Data!$K34)/1000</f>
        <v>#DIV/0!</v>
      </c>
      <c r="AC31" s="37" t="e">
        <f>(SQRT(G*Data!$B34/Data!$C34))/1000</f>
        <v>#DIV/0!</v>
      </c>
      <c r="AD31" s="40" t="e">
        <f ca="1">AC32+orbit28+orbit29</f>
        <v>#DIV/0!</v>
      </c>
      <c r="AE31" s="40" t="e">
        <f ca="1">AC33+orbit28+orbit30</f>
        <v>#DIV/0!</v>
      </c>
      <c r="AF31" s="17" t="str">
        <f>Data!A34</f>
        <v>S28</v>
      </c>
    </row>
    <row r="32" spans="1:32" x14ac:dyDescent="0.35">
      <c r="A32" s="5" t="str">
        <f>Data!A35</f>
        <v>S29</v>
      </c>
      <c r="B32" s="41" t="e">
        <f ca="1">(
SQRT((SQRT(GM_primary/OFFSET(Data!$D$7,COLUMN(B32)-2,0))*(SQRT(2*Data!$D35/(OFFSET(Data!$D$7,COLUMN(B32)-2,0)+Data!$D35))-1))^2+OFFSET(Data!$J$7,COLUMN(B32)-2,0)^2)-OFFSET(Data!$K$7,COLUMN(B32)-2,0)
+
SQRT((SQRT(GM_primary/Data!$D35)*(1-SQRT(2*OFFSET(Data!$D$7,COLUMN(B32)-2,0)/(OFFSET(Data!$D$7,COLUMN(B32)-2,0)+Data!$D35))))^2+Data!$J35^2)-Data!$K35)/1000</f>
        <v>#DIV/0!</v>
      </c>
      <c r="C32" s="41" t="e">
        <f ca="1">(
SQRT((SQRT(GM_primary/OFFSET(Data!$D$7,COLUMN(C32)-2,0))*(SQRT(2*Data!$D35/(OFFSET(Data!$D$7,COLUMN(C32)-2,0)+Data!$D35))-1))^2+OFFSET(Data!$J$7,COLUMN(C32)-2,0)^2)-OFFSET(Data!$K$7,COLUMN(C32)-2,0)
+
SQRT((SQRT(GM_primary/Data!$D35)*(1-SQRT(2*OFFSET(Data!$D$7,COLUMN(C32)-2,0)/(OFFSET(Data!$D$7,COLUMN(C32)-2,0)+Data!$D35))))^2+Data!$J35^2)-Data!$K35)/1000</f>
        <v>#DIV/0!</v>
      </c>
      <c r="D32" s="41" t="e">
        <f ca="1">(
SQRT((SQRT(GM_primary/OFFSET(Data!$D$7,COLUMN(D32)-2,0))*(SQRT(2*Data!$D35/(OFFSET(Data!$D$7,COLUMN(D32)-2,0)+Data!$D35))-1))^2+OFFSET(Data!$J$7,COLUMN(D32)-2,0)^2)-OFFSET(Data!$K$7,COLUMN(D32)-2,0)
+
SQRT((SQRT(GM_primary/Data!$D35)*(1-SQRT(2*OFFSET(Data!$D$7,COLUMN(D32)-2,0)/(OFFSET(Data!$D$7,COLUMN(D32)-2,0)+Data!$D35))))^2+Data!$J35^2)-Data!$K35)/1000</f>
        <v>#DIV/0!</v>
      </c>
      <c r="E32" s="41" t="e">
        <f ca="1">(
SQRT((SQRT(GM_primary/OFFSET(Data!$D$7,COLUMN(E32)-2,0))*(SQRT(2*Data!$D35/(OFFSET(Data!$D$7,COLUMN(E32)-2,0)+Data!$D35))-1))^2+OFFSET(Data!$J$7,COLUMN(E32)-2,0)^2)-OFFSET(Data!$K$7,COLUMN(E32)-2,0)
+
SQRT((SQRT(GM_primary/Data!$D35)*(1-SQRT(2*OFFSET(Data!$D$7,COLUMN(E32)-2,0)/(OFFSET(Data!$D$7,COLUMN(E32)-2,0)+Data!$D35))))^2+Data!$J35^2)-Data!$K35)/1000</f>
        <v>#DIV/0!</v>
      </c>
      <c r="F32" s="41" t="e">
        <f ca="1">(
SQRT((SQRT(GM_primary/OFFSET(Data!$D$7,COLUMN(F32)-2,0))*(SQRT(2*Data!$D35/(OFFSET(Data!$D$7,COLUMN(F32)-2,0)+Data!$D35))-1))^2+OFFSET(Data!$J$7,COLUMN(F32)-2,0)^2)-OFFSET(Data!$K$7,COLUMN(F32)-2,0)
+
SQRT((SQRT(GM_primary/Data!$D35)*(1-SQRT(2*OFFSET(Data!$D$7,COLUMN(F32)-2,0)/(OFFSET(Data!$D$7,COLUMN(F32)-2,0)+Data!$D35))))^2+Data!$J35^2)-Data!$K35)/1000</f>
        <v>#DIV/0!</v>
      </c>
      <c r="G32" s="41" t="e">
        <f ca="1">(
SQRT((SQRT(GM_primary/OFFSET(Data!$D$7,COLUMN(G32)-2,0))*(SQRT(2*Data!$D35/(OFFSET(Data!$D$7,COLUMN(G32)-2,0)+Data!$D35))-1))^2+OFFSET(Data!$J$7,COLUMN(G32)-2,0)^2)-OFFSET(Data!$K$7,COLUMN(G32)-2,0)
+
SQRT((SQRT(GM_primary/Data!$D35)*(1-SQRT(2*OFFSET(Data!$D$7,COLUMN(G32)-2,0)/(OFFSET(Data!$D$7,COLUMN(G32)-2,0)+Data!$D35))))^2+Data!$J35^2)-Data!$K35)/1000</f>
        <v>#DIV/0!</v>
      </c>
      <c r="H32" s="41" t="e">
        <f ca="1">(
SQRT((SQRT(GM_primary/OFFSET(Data!$D$7,COLUMN(H32)-2,0))*(SQRT(2*Data!$D35/(OFFSET(Data!$D$7,COLUMN(H32)-2,0)+Data!$D35))-1))^2+OFFSET(Data!$J$7,COLUMN(H32)-2,0)^2)-OFFSET(Data!$K$7,COLUMN(H32)-2,0)
+
SQRT((SQRT(GM_primary/Data!$D35)*(1-SQRT(2*OFFSET(Data!$D$7,COLUMN(H32)-2,0)/(OFFSET(Data!$D$7,COLUMN(H32)-2,0)+Data!$D35))))^2+Data!$J35^2)-Data!$K35)/1000</f>
        <v>#DIV/0!</v>
      </c>
      <c r="I32" s="41" t="e">
        <f ca="1">(
SQRT((SQRT(GM_primary/OFFSET(Data!$D$7,COLUMN(I32)-2,0))*(SQRT(2*Data!$D35/(OFFSET(Data!$D$7,COLUMN(I32)-2,0)+Data!$D35))-1))^2+OFFSET(Data!$J$7,COLUMN(I32)-2,0)^2)-OFFSET(Data!$K$7,COLUMN(I32)-2,0)
+
SQRT((SQRT(GM_primary/Data!$D35)*(1-SQRT(2*OFFSET(Data!$D$7,COLUMN(I32)-2,0)/(OFFSET(Data!$D$7,COLUMN(I32)-2,0)+Data!$D35))))^2+Data!$J35^2)-Data!$K35)/1000</f>
        <v>#DIV/0!</v>
      </c>
      <c r="J32" s="41" t="e">
        <f ca="1">(
SQRT((SQRT(GM_primary/OFFSET(Data!$D$7,COLUMN(J32)-2,0))*(SQRT(2*Data!$D35/(OFFSET(Data!$D$7,COLUMN(J32)-2,0)+Data!$D35))-1))^2+OFFSET(Data!$J$7,COLUMN(J32)-2,0)^2)-OFFSET(Data!$K$7,COLUMN(J32)-2,0)
+
SQRT((SQRT(GM_primary/Data!$D35)*(1-SQRT(2*OFFSET(Data!$D$7,COLUMN(J32)-2,0)/(OFFSET(Data!$D$7,COLUMN(J32)-2,0)+Data!$D35))))^2+Data!$J35^2)-Data!$K35)/1000</f>
        <v>#DIV/0!</v>
      </c>
      <c r="K32" s="41" t="e">
        <f ca="1">(
SQRT((SQRT(GM_primary/OFFSET(Data!$D$7,COLUMN(K32)-2,0))*(SQRT(2*Data!$D35/(OFFSET(Data!$D$7,COLUMN(K32)-2,0)+Data!$D35))-1))^2+OFFSET(Data!$J$7,COLUMN(K32)-2,0)^2)-OFFSET(Data!$K$7,COLUMN(K32)-2,0)
+
SQRT((SQRT(GM_primary/Data!$D35)*(1-SQRT(2*OFFSET(Data!$D$7,COLUMN(K32)-2,0)/(OFFSET(Data!$D$7,COLUMN(K32)-2,0)+Data!$D35))))^2+Data!$J35^2)-Data!$K35)/1000</f>
        <v>#DIV/0!</v>
      </c>
      <c r="L32" s="41" t="e">
        <f ca="1">(
SQRT((SQRT(GM_primary/OFFSET(Data!$D$7,COLUMN(L32)-2,0))*(SQRT(2*Data!$D35/(OFFSET(Data!$D$7,COLUMN(L32)-2,0)+Data!$D35))-1))^2+OFFSET(Data!$J$7,COLUMN(L32)-2,0)^2)-OFFSET(Data!$K$7,COLUMN(L32)-2,0)
+
SQRT((SQRT(GM_primary/Data!$D35)*(1-SQRT(2*OFFSET(Data!$D$7,COLUMN(L32)-2,0)/(OFFSET(Data!$D$7,COLUMN(L32)-2,0)+Data!$D35))))^2+Data!$J35^2)-Data!$K35)/1000</f>
        <v>#DIV/0!</v>
      </c>
      <c r="M32" s="41" t="e">
        <f ca="1">(
SQRT((SQRT(GM_primary/OFFSET(Data!$D$7,COLUMN(M32)-2,0))*(SQRT(2*Data!$D35/(OFFSET(Data!$D$7,COLUMN(M32)-2,0)+Data!$D35))-1))^2+OFFSET(Data!$J$7,COLUMN(M32)-2,0)^2)-OFFSET(Data!$K$7,COLUMN(M32)-2,0)
+
SQRT((SQRT(GM_primary/Data!$D35)*(1-SQRT(2*OFFSET(Data!$D$7,COLUMN(M32)-2,0)/(OFFSET(Data!$D$7,COLUMN(M32)-2,0)+Data!$D35))))^2+Data!$J35^2)-Data!$K35)/1000</f>
        <v>#DIV/0!</v>
      </c>
      <c r="N32" s="41" t="e">
        <f ca="1">(
SQRT((SQRT(GM_primary/OFFSET(Data!$D$7,COLUMN(N32)-2,0))*(SQRT(2*Data!$D35/(OFFSET(Data!$D$7,COLUMN(N32)-2,0)+Data!$D35))-1))^2+OFFSET(Data!$J$7,COLUMN(N32)-2,0)^2)-OFFSET(Data!$K$7,COLUMN(N32)-2,0)
+
SQRT((SQRT(GM_primary/Data!$D35)*(1-SQRT(2*OFFSET(Data!$D$7,COLUMN(N32)-2,0)/(OFFSET(Data!$D$7,COLUMN(N32)-2,0)+Data!$D35))))^2+Data!$J35^2)-Data!$K35)/1000</f>
        <v>#DIV/0!</v>
      </c>
      <c r="O32" s="41" t="e">
        <f ca="1">(
SQRT((SQRT(GM_primary/OFFSET(Data!$D$7,COLUMN(O32)-2,0))*(SQRT(2*Data!$D35/(OFFSET(Data!$D$7,COLUMN(O32)-2,0)+Data!$D35))-1))^2+OFFSET(Data!$J$7,COLUMN(O32)-2,0)^2)-OFFSET(Data!$K$7,COLUMN(O32)-2,0)
+
SQRT((SQRT(GM_primary/Data!$D35)*(1-SQRT(2*OFFSET(Data!$D$7,COLUMN(O32)-2,0)/(OFFSET(Data!$D$7,COLUMN(O32)-2,0)+Data!$D35))))^2+Data!$J35^2)-Data!$K35)/1000</f>
        <v>#DIV/0!</v>
      </c>
      <c r="P32" s="41" t="e">
        <f ca="1">(
SQRT((SQRT(GM_primary/OFFSET(Data!$D$7,COLUMN(P32)-2,0))*(SQRT(2*Data!$D35/(OFFSET(Data!$D$7,COLUMN(P32)-2,0)+Data!$D35))-1))^2+OFFSET(Data!$J$7,COLUMN(P32)-2,0)^2)-OFFSET(Data!$K$7,COLUMN(P32)-2,0)
+
SQRT((SQRT(GM_primary/Data!$D35)*(1-SQRT(2*OFFSET(Data!$D$7,COLUMN(P32)-2,0)/(OFFSET(Data!$D$7,COLUMN(P32)-2,0)+Data!$D35))))^2+Data!$J35^2)-Data!$K35)/1000</f>
        <v>#DIV/0!</v>
      </c>
      <c r="Q32" s="41" t="e">
        <f ca="1">(
SQRT((SQRT(GM_primary/OFFSET(Data!$D$7,COLUMN(Q32)-2,0))*(SQRT(2*Data!$D35/(OFFSET(Data!$D$7,COLUMN(Q32)-2,0)+Data!$D35))-1))^2+OFFSET(Data!$J$7,COLUMN(Q32)-2,0)^2)-OFFSET(Data!$K$7,COLUMN(Q32)-2,0)
+
SQRT((SQRT(GM_primary/Data!$D35)*(1-SQRT(2*OFFSET(Data!$D$7,COLUMN(Q32)-2,0)/(OFFSET(Data!$D$7,COLUMN(Q32)-2,0)+Data!$D35))))^2+Data!$J35^2)-Data!$K35)/1000</f>
        <v>#DIV/0!</v>
      </c>
      <c r="R32" s="41" t="e">
        <f ca="1">(
SQRT((SQRT(GM_primary/OFFSET(Data!$D$7,COLUMN(R32)-2,0))*(SQRT(2*Data!$D35/(OFFSET(Data!$D$7,COLUMN(R32)-2,0)+Data!$D35))-1))^2+OFFSET(Data!$J$7,COLUMN(R32)-2,0)^2)-OFFSET(Data!$K$7,COLUMN(R32)-2,0)
+
SQRT((SQRT(GM_primary/Data!$D35)*(1-SQRT(2*OFFSET(Data!$D$7,COLUMN(R32)-2,0)/(OFFSET(Data!$D$7,COLUMN(R32)-2,0)+Data!$D35))))^2+Data!$J35^2)-Data!$K35)/1000</f>
        <v>#DIV/0!</v>
      </c>
      <c r="S32" s="41" t="e">
        <f ca="1">(
SQRT((SQRT(GM_primary/OFFSET(Data!$D$7,COLUMN(S32)-2,0))*(SQRT(2*Data!$D35/(OFFSET(Data!$D$7,COLUMN(S32)-2,0)+Data!$D35))-1))^2+OFFSET(Data!$J$7,COLUMN(S32)-2,0)^2)-OFFSET(Data!$K$7,COLUMN(S32)-2,0)
+
SQRT((SQRT(GM_primary/Data!$D35)*(1-SQRT(2*OFFSET(Data!$D$7,COLUMN(S32)-2,0)/(OFFSET(Data!$D$7,COLUMN(S32)-2,0)+Data!$D35))))^2+Data!$J35^2)-Data!$K35)/1000</f>
        <v>#DIV/0!</v>
      </c>
      <c r="T32" s="41" t="e">
        <f ca="1">(
SQRT((SQRT(GM_primary/OFFSET(Data!$D$7,COLUMN(T32)-2,0))*(SQRT(2*Data!$D35/(OFFSET(Data!$D$7,COLUMN(T32)-2,0)+Data!$D35))-1))^2+OFFSET(Data!$J$7,COLUMN(T32)-2,0)^2)-OFFSET(Data!$K$7,COLUMN(T32)-2,0)
+
SQRT((SQRT(GM_primary/Data!$D35)*(1-SQRT(2*OFFSET(Data!$D$7,COLUMN(T32)-2,0)/(OFFSET(Data!$D$7,COLUMN(T32)-2,0)+Data!$D35))))^2+Data!$J35^2)-Data!$K35)/1000</f>
        <v>#DIV/0!</v>
      </c>
      <c r="U32" s="41" t="e">
        <f ca="1">(
SQRT((SQRT(GM_primary/OFFSET(Data!$D$7,COLUMN(U32)-2,0))*(SQRT(2*Data!$D35/(OFFSET(Data!$D$7,COLUMN(U32)-2,0)+Data!$D35))-1))^2+OFFSET(Data!$J$7,COLUMN(U32)-2,0)^2)-OFFSET(Data!$K$7,COLUMN(U32)-2,0)
+
SQRT((SQRT(GM_primary/Data!$D35)*(1-SQRT(2*OFFSET(Data!$D$7,COLUMN(U32)-2,0)/(OFFSET(Data!$D$7,COLUMN(U32)-2,0)+Data!$D35))))^2+Data!$J35^2)-Data!$K35)/1000</f>
        <v>#DIV/0!</v>
      </c>
      <c r="V32" s="41" t="e">
        <f ca="1">(
SQRT((SQRT(GM_primary/OFFSET(Data!$D$7,COLUMN(V32)-2,0))*(SQRT(2*Data!$D35/(OFFSET(Data!$D$7,COLUMN(V32)-2,0)+Data!$D35))-1))^2+OFFSET(Data!$J$7,COLUMN(V32)-2,0)^2)-OFFSET(Data!$K$7,COLUMN(V32)-2,0)
+
SQRT((SQRT(GM_primary/Data!$D35)*(1-SQRT(2*OFFSET(Data!$D$7,COLUMN(V32)-2,0)/(OFFSET(Data!$D$7,COLUMN(V32)-2,0)+Data!$D35))))^2+Data!$J35^2)-Data!$K35)/1000</f>
        <v>#DIV/0!</v>
      </c>
      <c r="W32" s="41" t="e">
        <f ca="1">(
SQRT((SQRT(GM_primary/OFFSET(Data!$D$7,COLUMN(W32)-2,0))*(SQRT(2*Data!$D35/(OFFSET(Data!$D$7,COLUMN(W32)-2,0)+Data!$D35))-1))^2+OFFSET(Data!$J$7,COLUMN(W32)-2,0)^2)-OFFSET(Data!$K$7,COLUMN(W32)-2,0)
+
SQRT((SQRT(GM_primary/Data!$D35)*(1-SQRT(2*OFFSET(Data!$D$7,COLUMN(W32)-2,0)/(OFFSET(Data!$D$7,COLUMN(W32)-2,0)+Data!$D35))))^2+Data!$J35^2)-Data!$K35)/1000</f>
        <v>#DIV/0!</v>
      </c>
      <c r="X32" s="41" t="e">
        <f ca="1">(
SQRT((SQRT(GM_primary/OFFSET(Data!$D$7,COLUMN(X32)-2,0))*(SQRT(2*Data!$D35/(OFFSET(Data!$D$7,COLUMN(X32)-2,0)+Data!$D35))-1))^2+OFFSET(Data!$J$7,COLUMN(X32)-2,0)^2)-OFFSET(Data!$K$7,COLUMN(X32)-2,0)
+
SQRT((SQRT(GM_primary/Data!$D35)*(1-SQRT(2*OFFSET(Data!$D$7,COLUMN(X32)-2,0)/(OFFSET(Data!$D$7,COLUMN(X32)-2,0)+Data!$D35))))^2+Data!$J35^2)-Data!$K35)/1000</f>
        <v>#DIV/0!</v>
      </c>
      <c r="Y32" s="41" t="e">
        <f ca="1">(
SQRT((SQRT(GM_primary/OFFSET(Data!$D$7,COLUMN(Y32)-2,0))*(SQRT(2*Data!$D35/(OFFSET(Data!$D$7,COLUMN(Y32)-2,0)+Data!$D35))-1))^2+OFFSET(Data!$J$7,COLUMN(Y32)-2,0)^2)-OFFSET(Data!$K$7,COLUMN(Y32)-2,0)
+
SQRT((SQRT(GM_primary/Data!$D35)*(1-SQRT(2*OFFSET(Data!$D$7,COLUMN(Y32)-2,0)/(OFFSET(Data!$D$7,COLUMN(Y32)-2,0)+Data!$D35))))^2+Data!$J35^2)-Data!$K35)/1000</f>
        <v>#DIV/0!</v>
      </c>
      <c r="Z32" s="41" t="e">
        <f ca="1">(
SQRT((SQRT(GM_primary/OFFSET(Data!$D$7,COLUMN(Z32)-2,0))*(SQRT(2*Data!$D35/(OFFSET(Data!$D$7,COLUMN(Z32)-2,0)+Data!$D35))-1))^2+OFFSET(Data!$J$7,COLUMN(Z32)-2,0)^2)-OFFSET(Data!$K$7,COLUMN(Z32)-2,0)
+
SQRT((SQRT(GM_primary/Data!$D35)*(1-SQRT(2*OFFSET(Data!$D$7,COLUMN(Z32)-2,0)/(OFFSET(Data!$D$7,COLUMN(Z32)-2,0)+Data!$D35))))^2+Data!$J35^2)-Data!$K35)/1000</f>
        <v>#DIV/0!</v>
      </c>
      <c r="AA32" s="41" t="e">
        <f ca="1">(
SQRT((SQRT(GM_primary/OFFSET(Data!$D$7,COLUMN(AA32)-2,0))*(SQRT(2*Data!$D35/(OFFSET(Data!$D$7,COLUMN(AA32)-2,0)+Data!$D35))-1))^2+OFFSET(Data!$J$7,COLUMN(AA32)-2,0)^2)-OFFSET(Data!$K$7,COLUMN(AA32)-2,0)
+
SQRT((SQRT(GM_primary/Data!$D35)*(1-SQRT(2*OFFSET(Data!$D$7,COLUMN(AA32)-2,0)/(OFFSET(Data!$D$7,COLUMN(AA32)-2,0)+Data!$D35))))^2+Data!$J35^2)-Data!$K35)/1000</f>
        <v>#DIV/0!</v>
      </c>
      <c r="AB32" s="41" t="e">
        <f ca="1">(
SQRT((SQRT(GM_primary/OFFSET(Data!$D$7,COLUMN(AB32)-2,0))*(SQRT(2*Data!$D35/(OFFSET(Data!$D$7,COLUMN(AB32)-2,0)+Data!$D35))-1))^2+OFFSET(Data!$J$7,COLUMN(AB32)-2,0)^2)-OFFSET(Data!$K$7,COLUMN(AB32)-2,0)
+
SQRT((SQRT(GM_primary/Data!$D35)*(1-SQRT(2*OFFSET(Data!$D$7,COLUMN(AB32)-2,0)/(OFFSET(Data!$D$7,COLUMN(AB32)-2,0)+Data!$D35))))^2+Data!$J35^2)-Data!$K35)/1000</f>
        <v>#DIV/0!</v>
      </c>
      <c r="AC32" s="41" t="e">
        <f ca="1">(
SQRT((SQRT(GM_primary/OFFSET(Data!$D$7,COLUMN(AC32)-2,0))*(SQRT(2*Data!$D35/(OFFSET(Data!$D$7,COLUMN(AC32)-2,0)+Data!$D35))-1))^2+OFFSET(Data!$J$7,COLUMN(AC32)-2,0)^2)-OFFSET(Data!$K$7,COLUMN(AC32)-2,0)
+
SQRT((SQRT(GM_primary/Data!$D35)*(1-SQRT(2*OFFSET(Data!$D$7,COLUMN(AC32)-2,0)/(OFFSET(Data!$D$7,COLUMN(AC32)-2,0)+Data!$D35))))^2+Data!$J35^2)-Data!$K35)/1000</f>
        <v>#DIV/0!</v>
      </c>
      <c r="AD32" s="37" t="e">
        <f>(SQRT(G*Data!$B35/Data!$C35))/1000</f>
        <v>#DIV/0!</v>
      </c>
      <c r="AE32" s="38" t="e">
        <f ca="1">AD33+orbit29+orbit30</f>
        <v>#DIV/0!</v>
      </c>
      <c r="AF32" s="17" t="str">
        <f>Data!A35</f>
        <v>S29</v>
      </c>
    </row>
    <row r="33" spans="1:32" x14ac:dyDescent="0.35">
      <c r="A33" s="5" t="str">
        <f>Data!A36</f>
        <v>S30</v>
      </c>
      <c r="B33" s="39" t="e">
        <f ca="1">(
SQRT((SQRT(GM_primary/OFFSET(Data!$D$7,COLUMN(B33)-2,0))*(SQRT(2*Data!$D36/(OFFSET(Data!$D$7,COLUMN(B33)-2,0)+Data!$D36))-1))^2+OFFSET(Data!$J$7,COLUMN(B33)-2,0)^2)-OFFSET(Data!$K$7,COLUMN(B33)-2,0)
+
SQRT((SQRT(GM_primary/Data!$D36)*(1-SQRT(2*OFFSET(Data!$D$7,COLUMN(B33)-2,0)/(OFFSET(Data!$D$7,COLUMN(B33)-2,0)+Data!$D36))))^2+Data!$J36^2)-Data!$K36)/1000</f>
        <v>#DIV/0!</v>
      </c>
      <c r="C33" s="39" t="e">
        <f ca="1">(
SQRT((SQRT(GM_primary/OFFSET(Data!$D$7,COLUMN(C33)-2,0))*(SQRT(2*Data!$D36/(OFFSET(Data!$D$7,COLUMN(C33)-2,0)+Data!$D36))-1))^2+OFFSET(Data!$J$7,COLUMN(C33)-2,0)^2)-OFFSET(Data!$K$7,COLUMN(C33)-2,0)
+
SQRT((SQRT(GM_primary/Data!$D36)*(1-SQRT(2*OFFSET(Data!$D$7,COLUMN(C33)-2,0)/(OFFSET(Data!$D$7,COLUMN(C33)-2,0)+Data!$D36))))^2+Data!$J36^2)-Data!$K36)/1000</f>
        <v>#DIV/0!</v>
      </c>
      <c r="D33" s="39" t="e">
        <f ca="1">(
SQRT((SQRT(GM_primary/OFFSET(Data!$D$7,COLUMN(D33)-2,0))*(SQRT(2*Data!$D36/(OFFSET(Data!$D$7,COLUMN(D33)-2,0)+Data!$D36))-1))^2+OFFSET(Data!$J$7,COLUMN(D33)-2,0)^2)-OFFSET(Data!$K$7,COLUMN(D33)-2,0)
+
SQRT((SQRT(GM_primary/Data!$D36)*(1-SQRT(2*OFFSET(Data!$D$7,COLUMN(D33)-2,0)/(OFFSET(Data!$D$7,COLUMN(D33)-2,0)+Data!$D36))))^2+Data!$J36^2)-Data!$K36)/1000</f>
        <v>#DIV/0!</v>
      </c>
      <c r="E33" s="39" t="e">
        <f ca="1">(
SQRT((SQRT(GM_primary/OFFSET(Data!$D$7,COLUMN(E33)-2,0))*(SQRT(2*Data!$D36/(OFFSET(Data!$D$7,COLUMN(E33)-2,0)+Data!$D36))-1))^2+OFFSET(Data!$J$7,COLUMN(E33)-2,0)^2)-OFFSET(Data!$K$7,COLUMN(E33)-2,0)
+
SQRT((SQRT(GM_primary/Data!$D36)*(1-SQRT(2*OFFSET(Data!$D$7,COLUMN(E33)-2,0)/(OFFSET(Data!$D$7,COLUMN(E33)-2,0)+Data!$D36))))^2+Data!$J36^2)-Data!$K36)/1000</f>
        <v>#DIV/0!</v>
      </c>
      <c r="F33" s="39" t="e">
        <f ca="1">(
SQRT((SQRT(GM_primary/OFFSET(Data!$D$7,COLUMN(F33)-2,0))*(SQRT(2*Data!$D36/(OFFSET(Data!$D$7,COLUMN(F33)-2,0)+Data!$D36))-1))^2+OFFSET(Data!$J$7,COLUMN(F33)-2,0)^2)-OFFSET(Data!$K$7,COLUMN(F33)-2,0)
+
SQRT((SQRT(GM_primary/Data!$D36)*(1-SQRT(2*OFFSET(Data!$D$7,COLUMN(F33)-2,0)/(OFFSET(Data!$D$7,COLUMN(F33)-2,0)+Data!$D36))))^2+Data!$J36^2)-Data!$K36)/1000</f>
        <v>#DIV/0!</v>
      </c>
      <c r="G33" s="39" t="e">
        <f ca="1">(
SQRT((SQRT(GM_primary/OFFSET(Data!$D$7,COLUMN(G33)-2,0))*(SQRT(2*Data!$D36/(OFFSET(Data!$D$7,COLUMN(G33)-2,0)+Data!$D36))-1))^2+OFFSET(Data!$J$7,COLUMN(G33)-2,0)^2)-OFFSET(Data!$K$7,COLUMN(G33)-2,0)
+
SQRT((SQRT(GM_primary/Data!$D36)*(1-SQRT(2*OFFSET(Data!$D$7,COLUMN(G33)-2,0)/(OFFSET(Data!$D$7,COLUMN(G33)-2,0)+Data!$D36))))^2+Data!$J36^2)-Data!$K36)/1000</f>
        <v>#DIV/0!</v>
      </c>
      <c r="H33" s="39" t="e">
        <f ca="1">(
SQRT((SQRT(GM_primary/OFFSET(Data!$D$7,COLUMN(H33)-2,0))*(SQRT(2*Data!$D36/(OFFSET(Data!$D$7,COLUMN(H33)-2,0)+Data!$D36))-1))^2+OFFSET(Data!$J$7,COLUMN(H33)-2,0)^2)-OFFSET(Data!$K$7,COLUMN(H33)-2,0)
+
SQRT((SQRT(GM_primary/Data!$D36)*(1-SQRT(2*OFFSET(Data!$D$7,COLUMN(H33)-2,0)/(OFFSET(Data!$D$7,COLUMN(H33)-2,0)+Data!$D36))))^2+Data!$J36^2)-Data!$K36)/1000</f>
        <v>#DIV/0!</v>
      </c>
      <c r="I33" s="39" t="e">
        <f ca="1">(
SQRT((SQRT(GM_primary/OFFSET(Data!$D$7,COLUMN(I33)-2,0))*(SQRT(2*Data!$D36/(OFFSET(Data!$D$7,COLUMN(I33)-2,0)+Data!$D36))-1))^2+OFFSET(Data!$J$7,COLUMN(I33)-2,0)^2)-OFFSET(Data!$K$7,COLUMN(I33)-2,0)
+
SQRT((SQRT(GM_primary/Data!$D36)*(1-SQRT(2*OFFSET(Data!$D$7,COLUMN(I33)-2,0)/(OFFSET(Data!$D$7,COLUMN(I33)-2,0)+Data!$D36))))^2+Data!$J36^2)-Data!$K36)/1000</f>
        <v>#DIV/0!</v>
      </c>
      <c r="J33" s="39" t="e">
        <f ca="1">(
SQRT((SQRT(GM_primary/OFFSET(Data!$D$7,COLUMN(J33)-2,0))*(SQRT(2*Data!$D36/(OFFSET(Data!$D$7,COLUMN(J33)-2,0)+Data!$D36))-1))^2+OFFSET(Data!$J$7,COLUMN(J33)-2,0)^2)-OFFSET(Data!$K$7,COLUMN(J33)-2,0)
+
SQRT((SQRT(GM_primary/Data!$D36)*(1-SQRT(2*OFFSET(Data!$D$7,COLUMN(J33)-2,0)/(OFFSET(Data!$D$7,COLUMN(J33)-2,0)+Data!$D36))))^2+Data!$J36^2)-Data!$K36)/1000</f>
        <v>#DIV/0!</v>
      </c>
      <c r="K33" s="39" t="e">
        <f ca="1">(
SQRT((SQRT(GM_primary/OFFSET(Data!$D$7,COLUMN(K33)-2,0))*(SQRT(2*Data!$D36/(OFFSET(Data!$D$7,COLUMN(K33)-2,0)+Data!$D36))-1))^2+OFFSET(Data!$J$7,COLUMN(K33)-2,0)^2)-OFFSET(Data!$K$7,COLUMN(K33)-2,0)
+
SQRT((SQRT(GM_primary/Data!$D36)*(1-SQRT(2*OFFSET(Data!$D$7,COLUMN(K33)-2,0)/(OFFSET(Data!$D$7,COLUMN(K33)-2,0)+Data!$D36))))^2+Data!$J36^2)-Data!$K36)/1000</f>
        <v>#DIV/0!</v>
      </c>
      <c r="L33" s="39" t="e">
        <f ca="1">(
SQRT((SQRT(GM_primary/OFFSET(Data!$D$7,COLUMN(L33)-2,0))*(SQRT(2*Data!$D36/(OFFSET(Data!$D$7,COLUMN(L33)-2,0)+Data!$D36))-1))^2+OFFSET(Data!$J$7,COLUMN(L33)-2,0)^2)-OFFSET(Data!$K$7,COLUMN(L33)-2,0)
+
SQRT((SQRT(GM_primary/Data!$D36)*(1-SQRT(2*OFFSET(Data!$D$7,COLUMN(L33)-2,0)/(OFFSET(Data!$D$7,COLUMN(L33)-2,0)+Data!$D36))))^2+Data!$J36^2)-Data!$K36)/1000</f>
        <v>#DIV/0!</v>
      </c>
      <c r="M33" s="39" t="e">
        <f ca="1">(
SQRT((SQRT(GM_primary/OFFSET(Data!$D$7,COLUMN(M33)-2,0))*(SQRT(2*Data!$D36/(OFFSET(Data!$D$7,COLUMN(M33)-2,0)+Data!$D36))-1))^2+OFFSET(Data!$J$7,COLUMN(M33)-2,0)^2)-OFFSET(Data!$K$7,COLUMN(M33)-2,0)
+
SQRT((SQRT(GM_primary/Data!$D36)*(1-SQRT(2*OFFSET(Data!$D$7,COLUMN(M33)-2,0)/(OFFSET(Data!$D$7,COLUMN(M33)-2,0)+Data!$D36))))^2+Data!$J36^2)-Data!$K36)/1000</f>
        <v>#DIV/0!</v>
      </c>
      <c r="N33" s="39" t="e">
        <f ca="1">(
SQRT((SQRT(GM_primary/OFFSET(Data!$D$7,COLUMN(N33)-2,0))*(SQRT(2*Data!$D36/(OFFSET(Data!$D$7,COLUMN(N33)-2,0)+Data!$D36))-1))^2+OFFSET(Data!$J$7,COLUMN(N33)-2,0)^2)-OFFSET(Data!$K$7,COLUMN(N33)-2,0)
+
SQRT((SQRT(GM_primary/Data!$D36)*(1-SQRT(2*OFFSET(Data!$D$7,COLUMN(N33)-2,0)/(OFFSET(Data!$D$7,COLUMN(N33)-2,0)+Data!$D36))))^2+Data!$J36^2)-Data!$K36)/1000</f>
        <v>#DIV/0!</v>
      </c>
      <c r="O33" s="39" t="e">
        <f ca="1">(
SQRT((SQRT(GM_primary/OFFSET(Data!$D$7,COLUMN(O33)-2,0))*(SQRT(2*Data!$D36/(OFFSET(Data!$D$7,COLUMN(O33)-2,0)+Data!$D36))-1))^2+OFFSET(Data!$J$7,COLUMN(O33)-2,0)^2)-OFFSET(Data!$K$7,COLUMN(O33)-2,0)
+
SQRT((SQRT(GM_primary/Data!$D36)*(1-SQRT(2*OFFSET(Data!$D$7,COLUMN(O33)-2,0)/(OFFSET(Data!$D$7,COLUMN(O33)-2,0)+Data!$D36))))^2+Data!$J36^2)-Data!$K36)/1000</f>
        <v>#DIV/0!</v>
      </c>
      <c r="P33" s="39" t="e">
        <f ca="1">(
SQRT((SQRT(GM_primary/OFFSET(Data!$D$7,COLUMN(P33)-2,0))*(SQRT(2*Data!$D36/(OFFSET(Data!$D$7,COLUMN(P33)-2,0)+Data!$D36))-1))^2+OFFSET(Data!$J$7,COLUMN(P33)-2,0)^2)-OFFSET(Data!$K$7,COLUMN(P33)-2,0)
+
SQRT((SQRT(GM_primary/Data!$D36)*(1-SQRT(2*OFFSET(Data!$D$7,COLUMN(P33)-2,0)/(OFFSET(Data!$D$7,COLUMN(P33)-2,0)+Data!$D36))))^2+Data!$J36^2)-Data!$K36)/1000</f>
        <v>#DIV/0!</v>
      </c>
      <c r="Q33" s="39" t="e">
        <f ca="1">(
SQRT((SQRT(GM_primary/OFFSET(Data!$D$7,COLUMN(Q33)-2,0))*(SQRT(2*Data!$D36/(OFFSET(Data!$D$7,COLUMN(Q33)-2,0)+Data!$D36))-1))^2+OFFSET(Data!$J$7,COLUMN(Q33)-2,0)^2)-OFFSET(Data!$K$7,COLUMN(Q33)-2,0)
+
SQRT((SQRT(GM_primary/Data!$D36)*(1-SQRT(2*OFFSET(Data!$D$7,COLUMN(Q33)-2,0)/(OFFSET(Data!$D$7,COLUMN(Q33)-2,0)+Data!$D36))))^2+Data!$J36^2)-Data!$K36)/1000</f>
        <v>#DIV/0!</v>
      </c>
      <c r="R33" s="39" t="e">
        <f ca="1">(
SQRT((SQRT(GM_primary/OFFSET(Data!$D$7,COLUMN(R33)-2,0))*(SQRT(2*Data!$D36/(OFFSET(Data!$D$7,COLUMN(R33)-2,0)+Data!$D36))-1))^2+OFFSET(Data!$J$7,COLUMN(R33)-2,0)^2)-OFFSET(Data!$K$7,COLUMN(R33)-2,0)
+
SQRT((SQRT(GM_primary/Data!$D36)*(1-SQRT(2*OFFSET(Data!$D$7,COLUMN(R33)-2,0)/(OFFSET(Data!$D$7,COLUMN(R33)-2,0)+Data!$D36))))^2+Data!$J36^2)-Data!$K36)/1000</f>
        <v>#DIV/0!</v>
      </c>
      <c r="S33" s="39" t="e">
        <f ca="1">(
SQRT((SQRT(GM_primary/OFFSET(Data!$D$7,COLUMN(S33)-2,0))*(SQRT(2*Data!$D36/(OFFSET(Data!$D$7,COLUMN(S33)-2,0)+Data!$D36))-1))^2+OFFSET(Data!$J$7,COLUMN(S33)-2,0)^2)-OFFSET(Data!$K$7,COLUMN(S33)-2,0)
+
SQRT((SQRT(GM_primary/Data!$D36)*(1-SQRT(2*OFFSET(Data!$D$7,COLUMN(S33)-2,0)/(OFFSET(Data!$D$7,COLUMN(S33)-2,0)+Data!$D36))))^2+Data!$J36^2)-Data!$K36)/1000</f>
        <v>#DIV/0!</v>
      </c>
      <c r="T33" s="39" t="e">
        <f ca="1">(
SQRT((SQRT(GM_primary/OFFSET(Data!$D$7,COLUMN(T33)-2,0))*(SQRT(2*Data!$D36/(OFFSET(Data!$D$7,COLUMN(T33)-2,0)+Data!$D36))-1))^2+OFFSET(Data!$J$7,COLUMN(T33)-2,0)^2)-OFFSET(Data!$K$7,COLUMN(T33)-2,0)
+
SQRT((SQRT(GM_primary/Data!$D36)*(1-SQRT(2*OFFSET(Data!$D$7,COLUMN(T33)-2,0)/(OFFSET(Data!$D$7,COLUMN(T33)-2,0)+Data!$D36))))^2+Data!$J36^2)-Data!$K36)/1000</f>
        <v>#DIV/0!</v>
      </c>
      <c r="U33" s="39" t="e">
        <f ca="1">(
SQRT((SQRT(GM_primary/OFFSET(Data!$D$7,COLUMN(U33)-2,0))*(SQRT(2*Data!$D36/(OFFSET(Data!$D$7,COLUMN(U33)-2,0)+Data!$D36))-1))^2+OFFSET(Data!$J$7,COLUMN(U33)-2,0)^2)-OFFSET(Data!$K$7,COLUMN(U33)-2,0)
+
SQRT((SQRT(GM_primary/Data!$D36)*(1-SQRT(2*OFFSET(Data!$D$7,COLUMN(U33)-2,0)/(OFFSET(Data!$D$7,COLUMN(U33)-2,0)+Data!$D36))))^2+Data!$J36^2)-Data!$K36)/1000</f>
        <v>#DIV/0!</v>
      </c>
      <c r="V33" s="39" t="e">
        <f ca="1">(
SQRT((SQRT(GM_primary/OFFSET(Data!$D$7,COLUMN(V33)-2,0))*(SQRT(2*Data!$D36/(OFFSET(Data!$D$7,COLUMN(V33)-2,0)+Data!$D36))-1))^2+OFFSET(Data!$J$7,COLUMN(V33)-2,0)^2)-OFFSET(Data!$K$7,COLUMN(V33)-2,0)
+
SQRT((SQRT(GM_primary/Data!$D36)*(1-SQRT(2*OFFSET(Data!$D$7,COLUMN(V33)-2,0)/(OFFSET(Data!$D$7,COLUMN(V33)-2,0)+Data!$D36))))^2+Data!$J36^2)-Data!$K36)/1000</f>
        <v>#DIV/0!</v>
      </c>
      <c r="W33" s="39" t="e">
        <f ca="1">(
SQRT((SQRT(GM_primary/OFFSET(Data!$D$7,COLUMN(W33)-2,0))*(SQRT(2*Data!$D36/(OFFSET(Data!$D$7,COLUMN(W33)-2,0)+Data!$D36))-1))^2+OFFSET(Data!$J$7,COLUMN(W33)-2,0)^2)-OFFSET(Data!$K$7,COLUMN(W33)-2,0)
+
SQRT((SQRT(GM_primary/Data!$D36)*(1-SQRT(2*OFFSET(Data!$D$7,COLUMN(W33)-2,0)/(OFFSET(Data!$D$7,COLUMN(W33)-2,0)+Data!$D36))))^2+Data!$J36^2)-Data!$K36)/1000</f>
        <v>#DIV/0!</v>
      </c>
      <c r="X33" s="39" t="e">
        <f ca="1">(
SQRT((SQRT(GM_primary/OFFSET(Data!$D$7,COLUMN(X33)-2,0))*(SQRT(2*Data!$D36/(OFFSET(Data!$D$7,COLUMN(X33)-2,0)+Data!$D36))-1))^2+OFFSET(Data!$J$7,COLUMN(X33)-2,0)^2)-OFFSET(Data!$K$7,COLUMN(X33)-2,0)
+
SQRT((SQRT(GM_primary/Data!$D36)*(1-SQRT(2*OFFSET(Data!$D$7,COLUMN(X33)-2,0)/(OFFSET(Data!$D$7,COLUMN(X33)-2,0)+Data!$D36))))^2+Data!$J36^2)-Data!$K36)/1000</f>
        <v>#DIV/0!</v>
      </c>
      <c r="Y33" s="39" t="e">
        <f ca="1">(
SQRT((SQRT(GM_primary/OFFSET(Data!$D$7,COLUMN(Y33)-2,0))*(SQRT(2*Data!$D36/(OFFSET(Data!$D$7,COLUMN(Y33)-2,0)+Data!$D36))-1))^2+OFFSET(Data!$J$7,COLUMN(Y33)-2,0)^2)-OFFSET(Data!$K$7,COLUMN(Y33)-2,0)
+
SQRT((SQRT(GM_primary/Data!$D36)*(1-SQRT(2*OFFSET(Data!$D$7,COLUMN(Y33)-2,0)/(OFFSET(Data!$D$7,COLUMN(Y33)-2,0)+Data!$D36))))^2+Data!$J36^2)-Data!$K36)/1000</f>
        <v>#DIV/0!</v>
      </c>
      <c r="Z33" s="39" t="e">
        <f ca="1">(
SQRT((SQRT(GM_primary/OFFSET(Data!$D$7,COLUMN(Z33)-2,0))*(SQRT(2*Data!$D36/(OFFSET(Data!$D$7,COLUMN(Z33)-2,0)+Data!$D36))-1))^2+OFFSET(Data!$J$7,COLUMN(Z33)-2,0)^2)-OFFSET(Data!$K$7,COLUMN(Z33)-2,0)
+
SQRT((SQRT(GM_primary/Data!$D36)*(1-SQRT(2*OFFSET(Data!$D$7,COLUMN(Z33)-2,0)/(OFFSET(Data!$D$7,COLUMN(Z33)-2,0)+Data!$D36))))^2+Data!$J36^2)-Data!$K36)/1000</f>
        <v>#DIV/0!</v>
      </c>
      <c r="AA33" s="39" t="e">
        <f ca="1">(
SQRT((SQRT(GM_primary/OFFSET(Data!$D$7,COLUMN(AA33)-2,0))*(SQRT(2*Data!$D36/(OFFSET(Data!$D$7,COLUMN(AA33)-2,0)+Data!$D36))-1))^2+OFFSET(Data!$J$7,COLUMN(AA33)-2,0)^2)-OFFSET(Data!$K$7,COLUMN(AA33)-2,0)
+
SQRT((SQRT(GM_primary/Data!$D36)*(1-SQRT(2*OFFSET(Data!$D$7,COLUMN(AA33)-2,0)/(OFFSET(Data!$D$7,COLUMN(AA33)-2,0)+Data!$D36))))^2+Data!$J36^2)-Data!$K36)/1000</f>
        <v>#DIV/0!</v>
      </c>
      <c r="AB33" s="39" t="e">
        <f ca="1">(
SQRT((SQRT(GM_primary/OFFSET(Data!$D$7,COLUMN(AB33)-2,0))*(SQRT(2*Data!$D36/(OFFSET(Data!$D$7,COLUMN(AB33)-2,0)+Data!$D36))-1))^2+OFFSET(Data!$J$7,COLUMN(AB33)-2,0)^2)-OFFSET(Data!$K$7,COLUMN(AB33)-2,0)
+
SQRT((SQRT(GM_primary/Data!$D36)*(1-SQRT(2*OFFSET(Data!$D$7,COLUMN(AB33)-2,0)/(OFFSET(Data!$D$7,COLUMN(AB33)-2,0)+Data!$D36))))^2+Data!$J36^2)-Data!$K36)/1000</f>
        <v>#DIV/0!</v>
      </c>
      <c r="AC33" s="39" t="e">
        <f ca="1">(
SQRT((SQRT(GM_primary/OFFSET(Data!$D$7,COLUMN(AC33)-2,0))*(SQRT(2*Data!$D36/(OFFSET(Data!$D$7,COLUMN(AC33)-2,0)+Data!$D36))-1))^2+OFFSET(Data!$J$7,COLUMN(AC33)-2,0)^2)-OFFSET(Data!$K$7,COLUMN(AC33)-2,0)
+
SQRT((SQRT(GM_primary/Data!$D36)*(1-SQRT(2*OFFSET(Data!$D$7,COLUMN(AC33)-2,0)/(OFFSET(Data!$D$7,COLUMN(AC33)-2,0)+Data!$D36))))^2+Data!$J36^2)-Data!$K36)/1000</f>
        <v>#DIV/0!</v>
      </c>
      <c r="AD33" s="39" t="e">
        <f ca="1">(
SQRT((SQRT(GM_primary/OFFSET(Data!$D$7,COLUMN(AD33)-2,0))*(SQRT(2*Data!$D36/(OFFSET(Data!$D$7,COLUMN(AD33)-2,0)+Data!$D36))-1))^2+OFFSET(Data!$J$7,COLUMN(AD33)-2,0)^2)-OFFSET(Data!$K$7,COLUMN(AD33)-2,0)
+
SQRT((SQRT(GM_primary/Data!$D36)*(1-SQRT(2*OFFSET(Data!$D$7,COLUMN(AD33)-2,0)/(OFFSET(Data!$D$7,COLUMN(AD33)-2,0)+Data!$D36))))^2+Data!$J36^2)-Data!$K36)/1000</f>
        <v>#DIV/0!</v>
      </c>
      <c r="AE33" s="37" t="e">
        <f>(SQRT(G*Data!$B36/Data!$C36))/1000</f>
        <v>#DIV/0!</v>
      </c>
      <c r="AF33" s="17" t="str">
        <f>Data!A36</f>
        <v>S30</v>
      </c>
    </row>
    <row r="34" spans="1:32" x14ac:dyDescent="0.35">
      <c r="B34" s="5" t="str">
        <f>Data!A7</f>
        <v>Mercury</v>
      </c>
      <c r="C34" s="5" t="str">
        <f>Data!A8</f>
        <v>Venus</v>
      </c>
      <c r="D34" s="5" t="str">
        <f>Data!A9</f>
        <v>Earth</v>
      </c>
      <c r="E34" s="5" t="str">
        <f>Data!A10</f>
        <v>Mars</v>
      </c>
      <c r="F34" s="5" t="str">
        <f>Data!A11</f>
        <v>Ceres</v>
      </c>
      <c r="G34" s="5" t="str">
        <f>Data!A12</f>
        <v>Jupiter</v>
      </c>
      <c r="H34" s="5" t="str">
        <f>Data!A13</f>
        <v>Saturn</v>
      </c>
      <c r="I34" s="5" t="str">
        <f>Data!A14</f>
        <v>Uranus</v>
      </c>
      <c r="J34" s="5" t="str">
        <f>Data!A15</f>
        <v>Neptune</v>
      </c>
      <c r="K34" s="5" t="str">
        <f>Data!A16</f>
        <v>Pluto</v>
      </c>
      <c r="L34" s="5" t="str">
        <f>Data!A17</f>
        <v>S11</v>
      </c>
      <c r="M34" s="5" t="str">
        <f>Data!A18</f>
        <v>S12</v>
      </c>
      <c r="N34" s="5" t="str">
        <f>Data!A19</f>
        <v>S13</v>
      </c>
      <c r="O34" s="5" t="str">
        <f>Data!A20</f>
        <v>S14</v>
      </c>
      <c r="P34" s="5" t="str">
        <f>Data!A21</f>
        <v>S15</v>
      </c>
      <c r="Q34" s="5" t="str">
        <f>Data!A22</f>
        <v>S16</v>
      </c>
      <c r="R34" s="5" t="str">
        <f>Data!A23</f>
        <v>S17</v>
      </c>
      <c r="S34" s="5" t="str">
        <f>Data!A24</f>
        <v>S18</v>
      </c>
      <c r="T34" s="5" t="str">
        <f>Data!A25</f>
        <v>S19</v>
      </c>
      <c r="U34" s="5" t="str">
        <f>Data!A26</f>
        <v>S20</v>
      </c>
      <c r="V34" s="5" t="str">
        <f>Data!A27</f>
        <v>S21</v>
      </c>
      <c r="W34" s="5" t="str">
        <f>Data!A28</f>
        <v>S22</v>
      </c>
      <c r="X34" s="5" t="str">
        <f>Data!A29</f>
        <v>S23</v>
      </c>
      <c r="Y34" s="5" t="str">
        <f>Data!A30</f>
        <v>S24</v>
      </c>
      <c r="Z34" s="5" t="str">
        <f>Data!A31</f>
        <v>S25</v>
      </c>
      <c r="AA34" s="5" t="str">
        <f>Data!A32</f>
        <v>S26</v>
      </c>
      <c r="AB34" s="5" t="str">
        <f>Data!A33</f>
        <v>S27</v>
      </c>
      <c r="AC34" s="5" t="str">
        <f>Data!A34</f>
        <v>S28</v>
      </c>
      <c r="AD34" s="5" t="str">
        <f>Data!A35</f>
        <v>S29</v>
      </c>
      <c r="AE34" s="5" t="str">
        <f>Data!A36</f>
        <v>S30</v>
      </c>
    </row>
    <row r="36" spans="1:32" x14ac:dyDescent="0.35">
      <c r="B36" t="s">
        <v>38</v>
      </c>
    </row>
    <row r="37" spans="1:32" x14ac:dyDescent="0.35">
      <c r="B37" s="43" t="s">
        <v>36</v>
      </c>
    </row>
    <row r="38" spans="1:32" x14ac:dyDescent="0.35">
      <c r="B38" s="44" t="s">
        <v>37</v>
      </c>
    </row>
    <row r="39" spans="1:32" x14ac:dyDescent="0.35">
      <c r="B39" s="45" t="s">
        <v>44</v>
      </c>
    </row>
    <row r="40" spans="1:32" ht="13.15" x14ac:dyDescent="0.4">
      <c r="B40" s="36" t="s">
        <v>45</v>
      </c>
    </row>
    <row r="41" spans="1:32" ht="13.15" x14ac:dyDescent="0.4">
      <c r="B41" s="36" t="s">
        <v>46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31"/>
  <sheetViews>
    <sheetView workbookViewId="0">
      <selection activeCell="O22" sqref="O22"/>
    </sheetView>
  </sheetViews>
  <sheetFormatPr defaultRowHeight="12.75" x14ac:dyDescent="0.35"/>
  <cols>
    <col min="2" max="2" width="10" bestFit="1" customWidth="1"/>
    <col min="3" max="3" width="9.1328125" customWidth="1"/>
    <col min="4" max="4" width="10.53125" customWidth="1"/>
    <col min="8" max="8" width="3.73046875" customWidth="1"/>
    <col min="9" max="9" width="10.73046875" customWidth="1"/>
    <col min="10" max="10" width="8.1328125" customWidth="1"/>
    <col min="11" max="11" width="3.796875" customWidth="1"/>
    <col min="12" max="12" width="4.796875" hidden="1" customWidth="1"/>
    <col min="13" max="13" width="3.9296875" customWidth="1"/>
    <col min="14" max="14" width="4.19921875" customWidth="1"/>
    <col min="15" max="15" width="5.6640625" customWidth="1"/>
    <col min="16" max="16" width="5" customWidth="1"/>
    <col min="17" max="17" width="1.59765625" hidden="1" customWidth="1"/>
    <col min="18" max="18" width="5.53125" customWidth="1"/>
    <col min="19" max="19" width="6.33203125" customWidth="1"/>
    <col min="20" max="20" width="7.53125" customWidth="1"/>
    <col min="21" max="21" width="6.3984375" customWidth="1"/>
    <col min="22" max="22" width="6.1328125" customWidth="1"/>
    <col min="24" max="24" width="6.86328125" style="65" customWidth="1"/>
  </cols>
  <sheetData>
    <row r="1" spans="2:24" s="60" customFormat="1" ht="25.9" customHeight="1" x14ac:dyDescent="0.4">
      <c r="I1" s="72" t="s">
        <v>89</v>
      </c>
      <c r="J1" s="72" t="s">
        <v>90</v>
      </c>
      <c r="K1" s="70" t="s">
        <v>81</v>
      </c>
      <c r="L1" s="70"/>
      <c r="M1" s="71" t="s">
        <v>80</v>
      </c>
      <c r="N1" s="71" t="s">
        <v>79</v>
      </c>
      <c r="O1" s="71" t="s">
        <v>86</v>
      </c>
      <c r="P1" s="71" t="s">
        <v>78</v>
      </c>
      <c r="Q1" s="71" t="s">
        <v>65</v>
      </c>
      <c r="R1" s="71" t="s">
        <v>87</v>
      </c>
      <c r="S1" s="71" t="s">
        <v>83</v>
      </c>
      <c r="T1" s="71" t="s">
        <v>85</v>
      </c>
      <c r="U1" s="71" t="s">
        <v>84</v>
      </c>
      <c r="V1" s="71" t="s">
        <v>88</v>
      </c>
      <c r="X1" s="74" t="s">
        <v>91</v>
      </c>
    </row>
    <row r="2" spans="2:24" x14ac:dyDescent="0.35">
      <c r="B2" s="61" t="s">
        <v>70</v>
      </c>
      <c r="C2">
        <v>3</v>
      </c>
      <c r="H2" s="63">
        <v>1</v>
      </c>
      <c r="I2" t="str">
        <f>Data!A7</f>
        <v>Mercury</v>
      </c>
      <c r="J2" s="17" t="str">
        <f ca="1">IF(AND($B$25&lt;OFFSET(Data!$D$6,Transfer!H2,0),OFFSET(Data!$D$6,Transfer!H2,0)&lt;Transfer!$C$25),"Reach","")</f>
        <v/>
      </c>
      <c r="K2" s="65" t="str">
        <f ca="1">IF(J2&lt;&gt;"",ACOS(($C$21*(1-$C$22^2)/OFFSET(Data!$D$6,H2,0)-1)/$C$22)*180/PI(),"")</f>
        <v/>
      </c>
      <c r="L2" s="65" t="e">
        <f t="shared" ref="L2:L31" ca="1" si="0">IF(AND(Period="INFINITE",K2&lt;&gt;""),TAN(K2*PI()/180/2)/SQRT((Eccentricity+1)/(Eccentricity-1)),NA())</f>
        <v>#N/A</v>
      </c>
      <c r="M2" s="65" t="str">
        <f t="shared" ref="M2:M31" ca="1" si="1">IF(J2&lt;&gt;"",IF(Period&lt;&gt;"INFINITE",
2*ATAN(SQRT((1-Eccentricity)/(1+Eccentricity)*TAN(K2/2/180*PI())^2))*180/PI(),
2*ATANH(L2)*180/PI()),"")</f>
        <v/>
      </c>
      <c r="N2" s="65" t="str">
        <f t="shared" ref="N2:N31" ca="1" si="2">IF(J2&lt;&gt;"",
IF(Period&lt;&gt;"INFINITE",(M2*PI()/180-Eccentricity*SIN(M2*PI()/180))*180/PI(),(Eccentricity*SINH(M2*PI()/180)-M2*PI()/180)*180/PI()),"")</f>
        <v/>
      </c>
      <c r="O2" s="65" t="str">
        <f t="shared" ref="O2:O31" ca="1" si="3">IF(J2&lt;&gt;"",IF(Period&lt;&gt;"INFINITE",N2/360*Period,N2*PI()/180/SQRT(GM_primary/(-1*SemiMajorAxis^3))/86400),"")</f>
        <v/>
      </c>
      <c r="P2" s="65" t="str">
        <f t="shared" ref="P2:P31" ca="1" si="4">IF(K2&lt;&gt;"",ATAN(Eccentricity*SIN(K2*PI()/180)/(1+Eccentricity*COS(K2*PI()/180)))*180/PI(),"")</f>
        <v/>
      </c>
      <c r="Q2" t="str">
        <f ca="1">IF(J2&lt;&gt;"",SQRT(GM_primary*(2/OFFSET(Data!$D$6,Transfer!H2,0)-1/SemiMajorAxis)),"")</f>
        <v/>
      </c>
      <c r="R2" s="69" t="str">
        <f ca="1">IF(J2&lt;&gt;"",SQRT((Q2*SIN(P2/180*PI()))^2+(Q2*COS(P2/180*PI())-OFFSET(Data!$H$6,Transfer!H2,0)*1000)^2)/1000,"")</f>
        <v/>
      </c>
      <c r="S2" s="65">
        <f ca="1">SQRT(G*OFFSET(Data!$B$6,Transfer!H2,0)/SUM(OFFSET(Data!$C$6,Transfer!H2,0),Transfer!$C$28*1000))/1000</f>
        <v>2.9446001025853019</v>
      </c>
      <c r="T2" s="65">
        <f ca="1">S2*SQRT(2)</f>
        <v>4.1642934008413413</v>
      </c>
      <c r="U2" s="73" t="str">
        <f ca="1">IF(J2&lt;&gt;"",SQRT(R2^2+T2^2)-S2,"")</f>
        <v/>
      </c>
      <c r="V2" s="73" t="str">
        <f ca="1">IF(J2&lt;&gt;"",$C$3+U2,"")</f>
        <v/>
      </c>
      <c r="X2" s="65" t="str">
        <f ca="1">IF(J2&lt;&gt;"",K2-MOD(SQRT(GM_primary/OFFSET(Data!$D$6,Transfer!H2,0)^3)*Transfer!O2*86400*360/PI(),360),"")</f>
        <v/>
      </c>
    </row>
    <row r="3" spans="2:24" x14ac:dyDescent="0.35">
      <c r="B3" s="61" t="s">
        <v>69</v>
      </c>
      <c r="C3" s="50">
        <v>9</v>
      </c>
      <c r="D3" s="61" t="s">
        <v>62</v>
      </c>
      <c r="E3" s="61"/>
      <c r="H3" s="63">
        <v>2</v>
      </c>
      <c r="I3" t="str">
        <f>Data!A8</f>
        <v>Venus</v>
      </c>
      <c r="J3" s="17" t="str">
        <f ca="1">IF(AND($B$25&lt;OFFSET(Data!$D$6,Transfer!H3,0),OFFSET(Data!$D$6,Transfer!H3,0)&lt;Transfer!$C$25),"Reach","")</f>
        <v/>
      </c>
      <c r="K3" s="65" t="str">
        <f ca="1">IF(J3&lt;&gt;"",ACOS(($C$21*(1-$C$22^2)/OFFSET(Data!$D$6,H3,0)-1)/$C$22)*180/PI(),"")</f>
        <v/>
      </c>
      <c r="L3" s="65" t="e">
        <f t="shared" ca="1" si="0"/>
        <v>#N/A</v>
      </c>
      <c r="M3" s="65" t="str">
        <f t="shared" ca="1" si="1"/>
        <v/>
      </c>
      <c r="N3" s="65" t="str">
        <f t="shared" ca="1" si="2"/>
        <v/>
      </c>
      <c r="O3" s="65" t="str">
        <f t="shared" ca="1" si="3"/>
        <v/>
      </c>
      <c r="P3" s="65" t="str">
        <f t="shared" ca="1" si="4"/>
        <v/>
      </c>
      <c r="Q3" t="str">
        <f ca="1">IF(J3&lt;&gt;"",SQRT(GM_primary*(2/OFFSET(Data!$D$6,Transfer!H3,0)-1/SemiMajorAxis)),"")</f>
        <v/>
      </c>
      <c r="R3" s="69" t="str">
        <f ca="1">IF(J3&lt;&gt;"",SQRT((Q3*SIN(P3/180*PI()))^2+(Q3*COS(P3/180*PI())-OFFSET(Data!$H$6,Transfer!H3,0)*1000)^2)/1000,"")</f>
        <v/>
      </c>
      <c r="S3" s="65">
        <f ca="1">SQRT(G*OFFSET(Data!$B$6,Transfer!H3,0)/SUM(OFFSET(Data!$C$6,Transfer!H3,0),Transfer!$C$28*1000))/1000</f>
        <v>7.268150961635178</v>
      </c>
      <c r="T3" s="65">
        <f t="shared" ref="T3:T31" ca="1" si="5">S3*SQRT(2)</f>
        <v>10.278717663319522</v>
      </c>
      <c r="U3" s="73" t="str">
        <f t="shared" ref="U3:U31" ca="1" si="6">IF(J3&lt;&gt;"",SQRT(R3^2+T3^2)-S3,"")</f>
        <v/>
      </c>
      <c r="V3" s="73" t="str">
        <f t="shared" ref="V3:V31" ca="1" si="7">IF(J3&lt;&gt;"",$C$3+U3,"")</f>
        <v/>
      </c>
      <c r="X3" s="65" t="str">
        <f ca="1">IF(J3&lt;&gt;"",K3-MOD(SQRT(GM_primary/OFFSET(Data!$D$6,Transfer!H3,0)^3)*Transfer!O3*86400*360/PI(),360),"")</f>
        <v/>
      </c>
    </row>
    <row r="4" spans="2:24" x14ac:dyDescent="0.35">
      <c r="H4" s="63">
        <v>3</v>
      </c>
      <c r="I4" t="str">
        <f>Data!A9</f>
        <v>Earth</v>
      </c>
      <c r="J4" s="17" t="str">
        <f ca="1">IF(AND($B$25&lt;OFFSET(Data!$D$6,Transfer!H4,0),OFFSET(Data!$D$6,Transfer!H4,0)&lt;Transfer!$C$25),"Reach","")</f>
        <v/>
      </c>
      <c r="K4" s="65" t="str">
        <f ca="1">IF(J4&lt;&gt;"",ACOS(($C$21*(1-$C$22^2)/OFFSET(Data!$D$6,H4,0)-1)/$C$22)*180/PI(),"")</f>
        <v/>
      </c>
      <c r="L4" s="65" t="e">
        <f t="shared" ca="1" si="0"/>
        <v>#N/A</v>
      </c>
      <c r="M4" s="65" t="str">
        <f t="shared" ca="1" si="1"/>
        <v/>
      </c>
      <c r="N4" s="65" t="str">
        <f t="shared" ca="1" si="2"/>
        <v/>
      </c>
      <c r="O4" s="65" t="str">
        <f t="shared" ca="1" si="3"/>
        <v/>
      </c>
      <c r="P4" s="65" t="str">
        <f t="shared" ca="1" si="4"/>
        <v/>
      </c>
      <c r="Q4" t="str">
        <f ca="1">IF(J4&lt;&gt;"",SQRT(GM_primary*(2/OFFSET(Data!$D$6,Transfer!H4,0)-1/SemiMajorAxis)),"")</f>
        <v/>
      </c>
      <c r="R4" s="69" t="str">
        <f ca="1">IF(J4&lt;&gt;"",SQRT((Q4*SIN(P4/180*PI()))^2+(Q4*COS(P4/180*PI())-OFFSET(Data!$H$6,Transfer!H4,0)*1000)^2)/1000,"")</f>
        <v/>
      </c>
      <c r="S4" s="65">
        <f ca="1">SQRT(G*OFFSET(Data!$B$6,Transfer!H4,0)/SUM(OFFSET(Data!$C$6,Transfer!H4,0),Transfer!$C$28*1000))/1000</f>
        <v>7.8462479479928202</v>
      </c>
      <c r="T4" s="65">
        <f t="shared" ca="1" si="5"/>
        <v>11.096270261793514</v>
      </c>
      <c r="U4" s="73" t="str">
        <f t="shared" ca="1" si="6"/>
        <v/>
      </c>
      <c r="V4" s="73" t="str">
        <f t="shared" ca="1" si="7"/>
        <v/>
      </c>
      <c r="X4" s="65" t="str">
        <f ca="1">IF(J4&lt;&gt;"",K4-MOD(SQRT(GM_primary/OFFSET(Data!$D$6,Transfer!H4,0)^3)*Transfer!O4*86400*360/PI(),360),"")</f>
        <v/>
      </c>
    </row>
    <row r="5" spans="2:24" x14ac:dyDescent="0.35">
      <c r="H5" s="63">
        <v>4</v>
      </c>
      <c r="I5" t="str">
        <f>Data!A10</f>
        <v>Mars</v>
      </c>
      <c r="J5" s="17" t="str">
        <f ca="1">IF(AND($B$25&lt;OFFSET(Data!$D$6,Transfer!H5,0),OFFSET(Data!$D$6,Transfer!H5,0)&lt;Transfer!$C$25),"Reach","")</f>
        <v>Reach</v>
      </c>
      <c r="K5" s="65">
        <f ca="1">IF(J5&lt;&gt;"",ACOS(($C$21*(1-$C$22^2)/OFFSET(Data!$D$6,H5,0)-1)/$C$22)*180/PI(),"")</f>
        <v>71.127610087971988</v>
      </c>
      <c r="L5" s="65">
        <f t="shared" ca="1" si="0"/>
        <v>9.0000519436294515E-2</v>
      </c>
      <c r="M5" s="65">
        <f t="shared" ca="1" si="1"/>
        <v>10.341282188577191</v>
      </c>
      <c r="N5" s="65">
        <f t="shared" ca="1" si="2"/>
        <v>0.39105388390308671</v>
      </c>
      <c r="O5" s="65">
        <f t="shared" ca="1" si="3"/>
        <v>68.66039886421045</v>
      </c>
      <c r="P5" s="65">
        <f t="shared" ca="1" si="4"/>
        <v>36.212892879603402</v>
      </c>
      <c r="Q5" s="69">
        <f ca="1">IF(J5&lt;&gt;"",SQRT(GM_primary*(2/OFFSET(Data!$D$6,Transfer!H5,0)-1/SemiMajorAxis)),"")</f>
        <v>34543.318740968709</v>
      </c>
      <c r="R5" s="69">
        <f ca="1">IF(J5&lt;&gt;"",SQRT((Q5*SIN(P5/180*PI()))^2+(Q5*COS(P5/180*PI())-OFFSET(Data!$H$6,Transfer!H5,0)*1000)^2)/1000,"")</f>
        <v>20.747419608187364</v>
      </c>
      <c r="S5" s="65">
        <f ca="1">SQRT(G*OFFSET(Data!$B$6,Transfer!H5,0)/SUM(OFFSET(Data!$C$6,Transfer!H5,0),Transfer!$C$28*1000))/1000</f>
        <v>3.5036068194056358</v>
      </c>
      <c r="T5" s="65">
        <f t="shared" ca="1" si="5"/>
        <v>4.9548482812263135</v>
      </c>
      <c r="U5" s="73">
        <f t="shared" ca="1" si="6"/>
        <v>17.827261467848139</v>
      </c>
      <c r="V5" s="73">
        <f t="shared" ca="1" si="7"/>
        <v>26.827261467848139</v>
      </c>
      <c r="X5" s="65">
        <f ca="1">IF(J5&lt;&gt;"",K5-MOD(SQRT(GM_primary/OFFSET(Data!$D$6,Transfer!H5,0)^3)*Transfer!O5*86400*360/PI(),360),"")</f>
        <v>-0.84661408396785021</v>
      </c>
    </row>
    <row r="6" spans="2:24" x14ac:dyDescent="0.35">
      <c r="B6" s="61" t="s">
        <v>63</v>
      </c>
      <c r="C6">
        <v>100</v>
      </c>
      <c r="D6" s="61" t="s">
        <v>64</v>
      </c>
      <c r="H6" s="63">
        <v>5</v>
      </c>
      <c r="I6" t="str">
        <f>Data!A11</f>
        <v>Ceres</v>
      </c>
      <c r="J6" s="17" t="str">
        <f ca="1">IF(AND($B$25&lt;OFFSET(Data!$D$6,Transfer!H6,0),OFFSET(Data!$D$6,Transfer!H6,0)&lt;Transfer!$C$25),"Reach","")</f>
        <v>Reach</v>
      </c>
      <c r="K6" s="65">
        <f ca="1">IF(J6&lt;&gt;"",ACOS(($C$21*(1-$C$22^2)/OFFSET(Data!$D$6,H6,0)-1)/$C$22)*180/PI(),"")</f>
        <v>104.90832858953296</v>
      </c>
      <c r="L6" s="65">
        <f t="shared" ca="1" si="0"/>
        <v>0.16377767930466697</v>
      </c>
      <c r="M6" s="65">
        <f t="shared" ca="1" si="1"/>
        <v>18.938094398739914</v>
      </c>
      <c r="N6" s="65">
        <f t="shared" ca="1" si="2"/>
        <v>0.96772369252792478</v>
      </c>
      <c r="O6" s="65">
        <f t="shared" ca="1" si="3"/>
        <v>169.910842097097</v>
      </c>
      <c r="P6" s="65">
        <f t="shared" ca="1" si="4"/>
        <v>53.63521958424063</v>
      </c>
      <c r="Q6">
        <f ca="1">IF(J6&lt;&gt;"",SQRT(GM_primary*(2/OFFSET(Data!$D$6,Transfer!H6,0)-1/SemiMajorAxis)),"")</f>
        <v>25881.374788629277</v>
      </c>
      <c r="R6" s="69">
        <f ca="1">IF(J6&lt;&gt;"",SQRT((Q6*SIN(P6/180*PI()))^2+(Q6*COS(P6/180*PI())-OFFSET(Data!$H$6,Transfer!H6,0)*1000)^2)/1000,"")</f>
        <v>20.997916586754926</v>
      </c>
      <c r="S6" s="65">
        <f ca="1">SQRT(G*OFFSET(Data!$B$6,Transfer!H6,0)/SUM(OFFSET(Data!$C$6,Transfer!H6,0),Transfer!$C$28*1000))/1000</f>
        <v>0.31830457277130098</v>
      </c>
      <c r="T6" s="65">
        <f t="shared" ca="1" si="5"/>
        <v>0.45015064377854763</v>
      </c>
      <c r="U6" s="73">
        <f t="shared" ca="1" si="6"/>
        <v>20.68443659561936</v>
      </c>
      <c r="V6" s="73">
        <f t="shared" ca="1" si="7"/>
        <v>29.68443659561936</v>
      </c>
      <c r="X6" s="65">
        <f ca="1">IF(J6&lt;&gt;"",K6-MOD(SQRT(GM_primary/OFFSET(Data!$D$6,Transfer!H6,0)^3)*Transfer!O6*86400*360/PI(),360),"")</f>
        <v>32.13800806185084</v>
      </c>
    </row>
    <row r="7" spans="2:24" x14ac:dyDescent="0.35">
      <c r="B7" s="61" t="s">
        <v>65</v>
      </c>
      <c r="C7" s="50">
        <f ca="1">SQRT(PRODUCT(G,OFFSET(Data!B6,Transfer!C2,0))/SUM(OFFSET(Data!C6,Transfer!C2,0),C6*1000))/1000</f>
        <v>7.8462479479928202</v>
      </c>
      <c r="D7" s="61" t="s">
        <v>62</v>
      </c>
      <c r="H7" s="63">
        <v>6</v>
      </c>
      <c r="I7" t="str">
        <f>Data!A12</f>
        <v>Jupiter</v>
      </c>
      <c r="J7" s="17" t="str">
        <f ca="1">IF(AND($B$25&lt;OFFSET(Data!$D$6,Transfer!H7,0),OFFSET(Data!$D$6,Transfer!H7,0)&lt;Transfer!$C$25),"Reach","")</f>
        <v>Reach</v>
      </c>
      <c r="K7" s="65">
        <f ca="1">IF(J7&lt;&gt;"",ACOS(($C$21*(1-$C$22^2)/OFFSET(Data!$D$6,H7,0)-1)/$C$22)*180/PI(),"")</f>
        <v>126.19272722272781</v>
      </c>
      <c r="L7" s="65">
        <f t="shared" ca="1" si="0"/>
        <v>0.24808267746253618</v>
      </c>
      <c r="M7" s="65">
        <f t="shared" ca="1" si="1"/>
        <v>29.033915500552311</v>
      </c>
      <c r="N7" s="65">
        <f t="shared" ca="1" si="2"/>
        <v>2.2340836754902944</v>
      </c>
      <c r="O7" s="65">
        <f t="shared" ca="1" si="3"/>
        <v>392.2556010035683</v>
      </c>
      <c r="P7" s="65">
        <f t="shared" ca="1" si="4"/>
        <v>64.885042399323993</v>
      </c>
      <c r="Q7">
        <f ca="1">IF(J7&lt;&gt;"",SQRT(GM_primary*(2/OFFSET(Data!$D$6,Transfer!H7,0)-1/SemiMajorAxis)),"")</f>
        <v>19222.835110434666</v>
      </c>
      <c r="R7" s="69">
        <f ca="1">IF(J7&lt;&gt;"",SQRT((Q7*SIN(P7/180*PI()))^2+(Q7*COS(P7/180*PI())-OFFSET(Data!$H$6,Transfer!H7,0)*1000)^2)/1000,"")</f>
        <v>18.081426110474393</v>
      </c>
      <c r="S7" s="65">
        <f ca="1">SQRT(G*OFFSET(Data!$B$6,Transfer!H7,0)/SUM(OFFSET(Data!$C$6,Transfer!H7,0),Transfer!$C$28*1000))/1000</f>
        <v>42.544155204318102</v>
      </c>
      <c r="T7" s="65">
        <f t="shared" ca="1" si="5"/>
        <v>60.166521289652557</v>
      </c>
      <c r="U7" s="73">
        <f t="shared" ca="1" si="6"/>
        <v>20.280587169103214</v>
      </c>
      <c r="V7" s="73">
        <f t="shared" ca="1" si="7"/>
        <v>29.280587169103214</v>
      </c>
      <c r="X7" s="65">
        <f ca="1">IF(J7&lt;&gt;"",K7-MOD(SQRT(GM_primary/OFFSET(Data!$D$6,Transfer!H7,0)^3)*Transfer!O7*86400*360/PI(),360),"")</f>
        <v>61.064841449726359</v>
      </c>
    </row>
    <row r="8" spans="2:24" x14ac:dyDescent="0.35">
      <c r="B8" s="61" t="s">
        <v>67</v>
      </c>
      <c r="C8" s="50">
        <f ca="1">SQRT(OFFSET(Data!B6,Transfer!C2,0)*G*2/SUM(OFFSET(Data!C6,Transfer!C2,0)+1000*C6))/1000</f>
        <v>11.096270261793514</v>
      </c>
      <c r="D8" s="61" t="s">
        <v>62</v>
      </c>
      <c r="H8" s="63">
        <v>7</v>
      </c>
      <c r="I8" t="str">
        <f>Data!A13</f>
        <v>Saturn</v>
      </c>
      <c r="J8" s="17" t="str">
        <f ca="1">IF(AND($B$25&lt;OFFSET(Data!$D$6,Transfer!H8,0),OFFSET(Data!$D$6,Transfer!H8,0)&lt;Transfer!$C$25),"Reach","")</f>
        <v>Reach</v>
      </c>
      <c r="K8" s="65">
        <f ca="1">IF(J8&lt;&gt;"",ACOS(($C$21*(1-$C$22^2)/OFFSET(Data!$D$6,H8,0)-1)/$C$22)*180/PI(),"")</f>
        <v>139.75982128325236</v>
      </c>
      <c r="L8" s="65">
        <f t="shared" ca="1" si="0"/>
        <v>0.3436080618903834</v>
      </c>
      <c r="M8" s="65">
        <f t="shared" ca="1" si="1"/>
        <v>41.044162868136716</v>
      </c>
      <c r="N8" s="65">
        <f t="shared" ca="1" si="2"/>
        <v>5.039246582011228</v>
      </c>
      <c r="O8" s="65">
        <f t="shared" ca="1" si="3"/>
        <v>884.78006366444129</v>
      </c>
      <c r="P8" s="65">
        <f t="shared" ca="1" si="4"/>
        <v>72.35658989970824</v>
      </c>
      <c r="Q8">
        <f ca="1">IF(J8&lt;&gt;"",SQRT(GM_primary*(2/OFFSET(Data!$D$6,Transfer!H8,0)-1/SemiMajorAxis)),"")</f>
        <v>14619.950019829959</v>
      </c>
      <c r="R8" s="69">
        <f ca="1">IF(J8&lt;&gt;"",SQRT((Q8*SIN(P8/180*PI()))^2+(Q8*COS(P8/180*PI())-OFFSET(Data!$H$6,Transfer!H8,0)*1000)^2)/1000,"")</f>
        <v>14.867889082531054</v>
      </c>
      <c r="S8" s="65">
        <f ca="1">SQRT(G*OFFSET(Data!$B$6,Transfer!H8,0)/SUM(OFFSET(Data!$C$6,Transfer!H8,0),Transfer!$C$28*1000))/1000</f>
        <v>25.490672702839969</v>
      </c>
      <c r="T8" s="65">
        <f t="shared" ca="1" si="5"/>
        <v>36.049255050369929</v>
      </c>
      <c r="U8" s="73">
        <f t="shared" ca="1" si="6"/>
        <v>13.50423613738003</v>
      </c>
      <c r="V8" s="73">
        <f t="shared" ca="1" si="7"/>
        <v>22.50423613738003</v>
      </c>
      <c r="X8" s="65">
        <f ca="1">IF(J8&lt;&gt;"",K8-MOD(SQRT(GM_primary/OFFSET(Data!$D$6,Transfer!H8,0)^3)*Transfer!O8*86400*360/PI(),360),"")</f>
        <v>80.960884404519419</v>
      </c>
    </row>
    <row r="9" spans="2:24" x14ac:dyDescent="0.35">
      <c r="H9" s="63">
        <v>8</v>
      </c>
      <c r="I9" t="str">
        <f>Data!A14</f>
        <v>Uranus</v>
      </c>
      <c r="J9" s="17" t="str">
        <f ca="1">IF(AND($B$25&lt;OFFSET(Data!$D$6,Transfer!H9,0),OFFSET(Data!$D$6,Transfer!H9,0)&lt;Transfer!$C$25),"Reach","")</f>
        <v>Reach</v>
      </c>
      <c r="K9" s="65">
        <f ca="1">IF(J9&lt;&gt;"",ACOS(($C$21*(1-$C$22^2)/OFFSET(Data!$D$6,H9,0)-1)/$C$22)*180/PI(),"")</f>
        <v>150.02761543477993</v>
      </c>
      <c r="L9" s="65">
        <f t="shared" ca="1" si="0"/>
        <v>0.47024129703756301</v>
      </c>
      <c r="M9" s="65">
        <f t="shared" ca="1" si="1"/>
        <v>58.485250696032068</v>
      </c>
      <c r="N9" s="65">
        <f t="shared" ca="1" si="2"/>
        <v>12.926741075617304</v>
      </c>
      <c r="O9" s="65">
        <f t="shared" ca="1" si="3"/>
        <v>2269.6493624040218</v>
      </c>
      <c r="P9" s="65">
        <f t="shared" ca="1" si="4"/>
        <v>78.401401515894833</v>
      </c>
      <c r="Q9">
        <f ca="1">IF(J9&lt;&gt;"",SQRT(GM_primary*(2/OFFSET(Data!$D$6,Transfer!H9,0)-1/SemiMajorAxis)),"")</f>
        <v>10999.185080868963</v>
      </c>
      <c r="R9" s="69">
        <f ca="1">IF(J9&lt;&gt;"",SQRT((Q9*SIN(P9/180*PI()))^2+(Q9*COS(P9/180*PI())-OFFSET(Data!$H$6,Transfer!H9,0)*1000)^2)/1000,"")</f>
        <v>11.70999325157964</v>
      </c>
      <c r="S9" s="65">
        <f ca="1">SQRT(G*OFFSET(Data!$B$6,Transfer!H9,0)/SUM(OFFSET(Data!$C$6,Transfer!H9,0),Transfer!$C$28*1000))/1000</f>
        <v>15.082528968056536</v>
      </c>
      <c r="T9" s="65">
        <f t="shared" ca="1" si="5"/>
        <v>21.329917021510635</v>
      </c>
      <c r="U9" s="73">
        <f t="shared" ca="1" si="6"/>
        <v>9.250356230714484</v>
      </c>
      <c r="V9" s="73">
        <f t="shared" ca="1" si="7"/>
        <v>18.250356230714484</v>
      </c>
      <c r="X9" s="65">
        <f ca="1">IF(J9&lt;&gt;"",K9-MOD(SQRT(GM_primary/OFFSET(Data!$D$6,Transfer!H9,0)^3)*Transfer!O9*86400*360/PI(),360),"")</f>
        <v>96.850826589202256</v>
      </c>
    </row>
    <row r="10" spans="2:24" x14ac:dyDescent="0.35">
      <c r="B10" s="61" t="s">
        <v>66</v>
      </c>
      <c r="C10" s="50">
        <f ca="1">SQRT(GM_primary/OFFSET(Data!D6,Transfer!C2,0))/1000</f>
        <v>29.785998083297155</v>
      </c>
      <c r="D10" s="61" t="s">
        <v>62</v>
      </c>
      <c r="H10" s="63">
        <v>9</v>
      </c>
      <c r="I10" t="str">
        <f>Data!A15</f>
        <v>Neptune</v>
      </c>
      <c r="J10" s="17" t="str">
        <f ca="1">IF(AND($B$25&lt;OFFSET(Data!$D$6,Transfer!H10,0),OFFSET(Data!$D$6,Transfer!H10,0)&lt;Transfer!$C$25),"Reach","")</f>
        <v>Reach</v>
      </c>
      <c r="K10" s="65">
        <f ca="1">IF(J10&lt;&gt;"",ACOS(($C$21*(1-$C$22^2)/OFFSET(Data!$D$6,H10,0)-1)/$C$22)*180/PI(),"")</f>
        <v>154.59253882933453</v>
      </c>
      <c r="L10" s="65">
        <f t="shared" ca="1" si="0"/>
        <v>0.55840108192129068</v>
      </c>
      <c r="M10" s="65">
        <f t="shared" ca="1" si="1"/>
        <v>72.250756167725456</v>
      </c>
      <c r="N10" s="65">
        <f t="shared" ca="1" si="2"/>
        <v>23.72379867330519</v>
      </c>
      <c r="O10" s="65">
        <f t="shared" ca="1" si="3"/>
        <v>4165.3734856832189</v>
      </c>
      <c r="P10" s="65">
        <f t="shared" ca="1" si="4"/>
        <v>81.317042378917435</v>
      </c>
      <c r="Q10">
        <f ca="1">IF(J10&lt;&gt;"",SQRT(GM_primary*(2/OFFSET(Data!$D$6,Transfer!H10,0)-1/SemiMajorAxis)),"")</f>
        <v>9360.7407052183989</v>
      </c>
      <c r="R10" s="69">
        <f ca="1">IF(J10&lt;&gt;"",SQRT((Q10*SIN(P10/180*PI()))^2+(Q10*COS(P10/180*PI())-OFFSET(Data!$H$6,Transfer!H10,0)*1000)^2)/1000,"")</f>
        <v>10.089233892796818</v>
      </c>
      <c r="S10" s="65">
        <f ca="1">SQRT(G*OFFSET(Data!$B$6,Transfer!H10,0)/SUM(OFFSET(Data!$C$6,Transfer!H10,0),Transfer!$C$28*1000))/1000</f>
        <v>16.592097108518317</v>
      </c>
      <c r="T10" s="65">
        <f t="shared" ca="1" si="5"/>
        <v>23.464768759078019</v>
      </c>
      <c r="U10" s="73">
        <f t="shared" ca="1" si="6"/>
        <v>8.9497903209682477</v>
      </c>
      <c r="V10" s="73">
        <f t="shared" ca="1" si="7"/>
        <v>17.949790320968248</v>
      </c>
      <c r="X10" s="65">
        <f ca="1">IF(J10&lt;&gt;"",K10-MOD(SQRT(GM_primary/OFFSET(Data!$D$6,Transfer!H10,0)^3)*Transfer!O10*86400*360/PI(),360),"")</f>
        <v>104.73911005597898</v>
      </c>
    </row>
    <row r="11" spans="2:24" ht="13.15" x14ac:dyDescent="0.4">
      <c r="B11" s="61" t="s">
        <v>68</v>
      </c>
      <c r="C11" s="50">
        <f ca="1">SQRT((C7+C3)^2-C8^2)</f>
        <v>12.675521930180599</v>
      </c>
      <c r="D11" s="61" t="s">
        <v>62</v>
      </c>
      <c r="H11" s="63">
        <v>10</v>
      </c>
      <c r="I11" t="str">
        <f>Data!A16</f>
        <v>Pluto</v>
      </c>
      <c r="J11" s="17" t="str">
        <f ca="1">IF(AND($B$25&lt;OFFSET(Data!$D$6,Transfer!H11,0),OFFSET(Data!$D$6,Transfer!H11,0)&lt;Transfer!$C$25),"Reach","")</f>
        <v>Reach</v>
      </c>
      <c r="K11" s="65">
        <f ca="1">IF(J11&lt;&gt;"",ACOS(($C$21*(1-$C$22^2)/OFFSET(Data!$D$6,H11,0)-1)/$C$22)*180/PI(),"")</f>
        <v>156.72577789633741</v>
      </c>
      <c r="L11" s="65">
        <f t="shared" ca="1" si="0"/>
        <v>0.61122605420710652</v>
      </c>
      <c r="M11" s="65">
        <f t="shared" ca="1" si="1"/>
        <v>81.460425441347383</v>
      </c>
      <c r="N11" s="65">
        <f t="shared" ca="1" si="2"/>
        <v>33.95539069591149</v>
      </c>
      <c r="O11" s="65">
        <f t="shared" ca="1" si="3"/>
        <v>5961.814380928543</v>
      </c>
      <c r="P11" s="65">
        <f t="shared" ca="1" si="4"/>
        <v>82.762599367543828</v>
      </c>
      <c r="Q11">
        <f ca="1">IF(J11&lt;&gt;"",SQRT(GM_primary*(2/OFFSET(Data!$D$6,Transfer!H11,0)-1/SemiMajorAxis)),"")</f>
        <v>8590.3278902139591</v>
      </c>
      <c r="R11" s="69">
        <f ca="1">IF(J11&lt;&gt;"",SQRT((Q11*SIN(P11/180*PI()))^2+(Q11*COS(P11/180*PI())-OFFSET(Data!$H$6,Transfer!H11,0)*1000)^2)/1000,"")</f>
        <v>9.2797394548324768</v>
      </c>
      <c r="S11" s="65">
        <f ca="1">SQRT(G*OFFSET(Data!$B$6,Transfer!H11,0)/SUM(OFFSET(Data!$C$6,Transfer!H11,0),Transfer!$C$28*1000))/1000</f>
        <v>0.80256586590258694</v>
      </c>
      <c r="T11" s="65">
        <f t="shared" ca="1" si="5"/>
        <v>1.1349995322571453</v>
      </c>
      <c r="U11" s="73">
        <f t="shared" ca="1" si="6"/>
        <v>8.5463264902965417</v>
      </c>
      <c r="V11" s="73">
        <f t="shared" ca="1" si="7"/>
        <v>17.546326490296543</v>
      </c>
      <c r="X11" s="65">
        <f ca="1">IF(J11&lt;&gt;"",K11-MOD(SQRT(GM_primary/OFFSET(Data!$D$6,Transfer!H11,0)^3)*Transfer!O11*86400*360/PI(),360),"")</f>
        <v>108.90646223959624</v>
      </c>
    </row>
    <row r="12" spans="2:24" x14ac:dyDescent="0.35">
      <c r="H12" s="63">
        <v>11</v>
      </c>
      <c r="I12" t="str">
        <f>Data!A17</f>
        <v>S11</v>
      </c>
      <c r="J12" s="17" t="str">
        <f ca="1">IF(AND($B$25&lt;OFFSET(Data!$D$6,Transfer!H12,0),OFFSET(Data!$D$6,Transfer!H12,0)&lt;Transfer!$C$25),"Reach","")</f>
        <v/>
      </c>
      <c r="K12" s="65" t="str">
        <f ca="1">IF(J12&lt;&gt;"",ACOS(($C$21*(1-$C$22^2)/OFFSET(Data!$D$6,H12,0)-1)/$C$22)*180/PI(),"")</f>
        <v/>
      </c>
      <c r="L12" s="65" t="e">
        <f t="shared" ca="1" si="0"/>
        <v>#N/A</v>
      </c>
      <c r="M12" s="65" t="str">
        <f t="shared" ca="1" si="1"/>
        <v/>
      </c>
      <c r="N12" s="65" t="str">
        <f t="shared" ca="1" si="2"/>
        <v/>
      </c>
      <c r="O12" s="65" t="str">
        <f t="shared" ca="1" si="3"/>
        <v/>
      </c>
      <c r="P12" s="65" t="str">
        <f t="shared" ca="1" si="4"/>
        <v/>
      </c>
      <c r="Q12" t="str">
        <f ca="1">IF(J12&lt;&gt;"",SQRT(GM_primary*(2/OFFSET(Data!$D$6,Transfer!H12,0)-1/SemiMajorAxis)),"")</f>
        <v/>
      </c>
      <c r="R12" s="69" t="str">
        <f ca="1">IF(J12&lt;&gt;"",SQRT((Q12*SIN(P12/180*PI()))^2+(Q12*COS(P12/180*PI())-OFFSET(Data!$H$6,Transfer!H12,0)*1000)^2)/1000,"")</f>
        <v/>
      </c>
      <c r="S12" s="65">
        <f ca="1">SQRT(G*OFFSET(Data!$B$6,Transfer!H12,0)/SUM(OFFSET(Data!$C$6,Transfer!H12,0),Transfer!$C$28*1000))/1000</f>
        <v>0</v>
      </c>
      <c r="T12" s="65">
        <f t="shared" ca="1" si="5"/>
        <v>0</v>
      </c>
      <c r="U12" s="73" t="str">
        <f t="shared" ca="1" si="6"/>
        <v/>
      </c>
      <c r="V12" s="73" t="str">
        <f t="shared" ca="1" si="7"/>
        <v/>
      </c>
      <c r="X12" s="65" t="str">
        <f ca="1">IF(J12&lt;&gt;"",K12-MOD(SQRT(GM_primary/OFFSET(Data!$D$6,Transfer!H12,0)^3)*Transfer!O12*86400*360/PI(),360),"")</f>
        <v/>
      </c>
    </row>
    <row r="13" spans="2:24" x14ac:dyDescent="0.35">
      <c r="B13" s="61" t="s">
        <v>71</v>
      </c>
      <c r="C13" s="62" t="b">
        <v>1</v>
      </c>
      <c r="H13" s="63">
        <v>12</v>
      </c>
      <c r="I13" t="str">
        <f>Data!A18</f>
        <v>S12</v>
      </c>
      <c r="J13" s="17" t="str">
        <f ca="1">IF(AND($B$25&lt;OFFSET(Data!$D$6,Transfer!H13,0),OFFSET(Data!$D$6,Transfer!H13,0)&lt;Transfer!$C$25),"Reach","")</f>
        <v/>
      </c>
      <c r="K13" s="65" t="str">
        <f ca="1">IF(J13&lt;&gt;"",ACOS(($C$21*(1-$C$22^2)/OFFSET(Data!$D$6,H13,0)-1)/$C$22)*180/PI(),"")</f>
        <v/>
      </c>
      <c r="L13" s="65" t="e">
        <f t="shared" ca="1" si="0"/>
        <v>#N/A</v>
      </c>
      <c r="M13" s="65" t="str">
        <f t="shared" ca="1" si="1"/>
        <v/>
      </c>
      <c r="N13" s="65" t="str">
        <f t="shared" ca="1" si="2"/>
        <v/>
      </c>
      <c r="O13" s="65" t="str">
        <f t="shared" ca="1" si="3"/>
        <v/>
      </c>
      <c r="P13" s="65" t="str">
        <f t="shared" ca="1" si="4"/>
        <v/>
      </c>
      <c r="Q13" t="str">
        <f ca="1">IF(J13&lt;&gt;"",SQRT(GM_primary*(2/OFFSET(Data!$D$6,Transfer!H13,0)-1/SemiMajorAxis)),"")</f>
        <v/>
      </c>
      <c r="R13" s="69" t="str">
        <f ca="1">IF(J13&lt;&gt;"",SQRT((Q13*SIN(P13/180*PI()))^2+(Q13*COS(P13/180*PI())-OFFSET(Data!$H$6,Transfer!H13,0)*1000)^2)/1000,"")</f>
        <v/>
      </c>
      <c r="S13" s="65">
        <f ca="1">SQRT(G*OFFSET(Data!$B$6,Transfer!H13,0)/SUM(OFFSET(Data!$C$6,Transfer!H13,0),Transfer!$C$28*1000))/1000</f>
        <v>0</v>
      </c>
      <c r="T13" s="65">
        <f t="shared" ca="1" si="5"/>
        <v>0</v>
      </c>
      <c r="U13" s="73" t="str">
        <f t="shared" ca="1" si="6"/>
        <v/>
      </c>
      <c r="V13" s="73" t="str">
        <f t="shared" ca="1" si="7"/>
        <v/>
      </c>
      <c r="X13" s="65" t="str">
        <f ca="1">IF(J13&lt;&gt;"",K13-MOD(SQRT(GM_primary/OFFSET(Data!$D$6,Transfer!H13,0)^3)*Transfer!O13*86400*360/PI(),360),"")</f>
        <v/>
      </c>
    </row>
    <row r="14" spans="2:24" x14ac:dyDescent="0.35">
      <c r="H14" s="63">
        <v>13</v>
      </c>
      <c r="I14" t="str">
        <f>Data!A19</f>
        <v>S13</v>
      </c>
      <c r="J14" s="17" t="str">
        <f ca="1">IF(AND($B$25&lt;OFFSET(Data!$D$6,Transfer!H14,0),OFFSET(Data!$D$6,Transfer!H14,0)&lt;Transfer!$C$25),"Reach","")</f>
        <v/>
      </c>
      <c r="K14" s="65" t="str">
        <f ca="1">IF(J14&lt;&gt;"",ACOS(($C$21*(1-$C$22^2)/OFFSET(Data!$D$6,H14,0)-1)/$C$22)*180/PI(),"")</f>
        <v/>
      </c>
      <c r="L14" s="65" t="e">
        <f t="shared" ca="1" si="0"/>
        <v>#N/A</v>
      </c>
      <c r="M14" s="65" t="str">
        <f t="shared" ca="1" si="1"/>
        <v/>
      </c>
      <c r="N14" s="65" t="str">
        <f t="shared" ca="1" si="2"/>
        <v/>
      </c>
      <c r="O14" s="65" t="str">
        <f t="shared" ca="1" si="3"/>
        <v/>
      </c>
      <c r="P14" s="65" t="str">
        <f t="shared" ca="1" si="4"/>
        <v/>
      </c>
      <c r="Q14" t="str">
        <f ca="1">IF(J14&lt;&gt;"",SQRT(GM_primary*(2/OFFSET(Data!$D$6,Transfer!H14,0)-1/SemiMajorAxis)),"")</f>
        <v/>
      </c>
      <c r="R14" s="69" t="str">
        <f ca="1">IF(J14&lt;&gt;"",SQRT((Q14*SIN(P14/180*PI()))^2+(Q14*COS(P14/180*PI())-OFFSET(Data!$H$6,Transfer!H14,0)*1000)^2)/1000,"")</f>
        <v/>
      </c>
      <c r="S14" s="65">
        <f ca="1">SQRT(G*OFFSET(Data!$B$6,Transfer!H14,0)/SUM(OFFSET(Data!$C$6,Transfer!H14,0),Transfer!$C$28*1000))/1000</f>
        <v>0</v>
      </c>
      <c r="T14" s="65">
        <f t="shared" ca="1" si="5"/>
        <v>0</v>
      </c>
      <c r="U14" s="73" t="str">
        <f t="shared" ca="1" si="6"/>
        <v/>
      </c>
      <c r="V14" s="73" t="str">
        <f t="shared" ca="1" si="7"/>
        <v/>
      </c>
      <c r="X14" s="65" t="str">
        <f ca="1">IF(J14&lt;&gt;"",K14-MOD(SQRT(GM_primary/OFFSET(Data!$D$6,Transfer!H14,0)^3)*Transfer!O14*86400*360/PI(),360),"")</f>
        <v/>
      </c>
    </row>
    <row r="15" spans="2:24" x14ac:dyDescent="0.35">
      <c r="B15" t="str">
        <f>IF(C13,"Vperi","Vap")</f>
        <v>Vperi</v>
      </c>
      <c r="C15" s="50">
        <f ca="1">IF(C13,C11+C10,C10-C11)</f>
        <v>42.461520013477752</v>
      </c>
      <c r="D15" s="61" t="s">
        <v>62</v>
      </c>
      <c r="H15" s="63">
        <v>14</v>
      </c>
      <c r="I15" t="str">
        <f>Data!A20</f>
        <v>S14</v>
      </c>
      <c r="J15" s="17" t="str">
        <f ca="1">IF(AND($B$25&lt;OFFSET(Data!$D$6,Transfer!H15,0),OFFSET(Data!$D$6,Transfer!H15,0)&lt;Transfer!$C$25),"Reach","")</f>
        <v/>
      </c>
      <c r="K15" s="65" t="str">
        <f ca="1">IF(J15&lt;&gt;"",ACOS(($C$21*(1-$C$22^2)/OFFSET(Data!$D$6,H15,0)-1)/$C$22)*180/PI(),"")</f>
        <v/>
      </c>
      <c r="L15" s="65" t="e">
        <f t="shared" ca="1" si="0"/>
        <v>#N/A</v>
      </c>
      <c r="M15" s="65" t="str">
        <f t="shared" ca="1" si="1"/>
        <v/>
      </c>
      <c r="N15" s="65" t="str">
        <f t="shared" ca="1" si="2"/>
        <v/>
      </c>
      <c r="O15" s="65" t="str">
        <f t="shared" ca="1" si="3"/>
        <v/>
      </c>
      <c r="P15" s="65" t="str">
        <f t="shared" ca="1" si="4"/>
        <v/>
      </c>
      <c r="Q15" t="str">
        <f ca="1">IF(J15&lt;&gt;"",SQRT(GM_primary*(2/OFFSET(Data!$D$6,Transfer!H15,0)-1/SemiMajorAxis)),"")</f>
        <v/>
      </c>
      <c r="R15" s="69" t="str">
        <f ca="1">IF(J15&lt;&gt;"",SQRT((Q15*SIN(P15/180*PI()))^2+(Q15*COS(P15/180*PI())-OFFSET(Data!$H$6,Transfer!H15,0)*1000)^2)/1000,"")</f>
        <v/>
      </c>
      <c r="S15" s="65">
        <f ca="1">SQRT(G*OFFSET(Data!$B$6,Transfer!H15,0)/SUM(OFFSET(Data!$C$6,Transfer!H15,0),Transfer!$C$28*1000))/1000</f>
        <v>0</v>
      </c>
      <c r="T15" s="65">
        <f t="shared" ca="1" si="5"/>
        <v>0</v>
      </c>
      <c r="U15" s="73" t="str">
        <f t="shared" ca="1" si="6"/>
        <v/>
      </c>
      <c r="V15" s="73" t="str">
        <f t="shared" ca="1" si="7"/>
        <v/>
      </c>
      <c r="X15" s="65" t="str">
        <f ca="1">IF(J15&lt;&gt;"",K15-MOD(SQRT(GM_primary/OFFSET(Data!$D$6,Transfer!H15,0)^3)*Transfer!O15*86400*360/PI(),360),"")</f>
        <v/>
      </c>
    </row>
    <row r="16" spans="2:24" x14ac:dyDescent="0.35">
      <c r="B16" s="61" t="s">
        <v>74</v>
      </c>
      <c r="C16" s="64">
        <f ca="1">OFFSET(Data!D6,Transfer!C2,0)</f>
        <v>149600000000</v>
      </c>
      <c r="D16" s="61" t="s">
        <v>73</v>
      </c>
      <c r="H16" s="63">
        <v>15</v>
      </c>
      <c r="I16" t="str">
        <f>Data!A21</f>
        <v>S15</v>
      </c>
      <c r="J16" s="17" t="str">
        <f ca="1">IF(AND($B$25&lt;OFFSET(Data!$D$6,Transfer!H16,0),OFFSET(Data!$D$6,Transfer!H16,0)&lt;Transfer!$C$25),"Reach","")</f>
        <v/>
      </c>
      <c r="K16" s="65" t="str">
        <f ca="1">IF(J16&lt;&gt;"",ACOS(($C$21*(1-$C$22^2)/OFFSET(Data!$D$6,H16,0)-1)/$C$22)*180/PI(),"")</f>
        <v/>
      </c>
      <c r="L16" s="65" t="e">
        <f t="shared" ca="1" si="0"/>
        <v>#N/A</v>
      </c>
      <c r="M16" s="65" t="str">
        <f t="shared" ca="1" si="1"/>
        <v/>
      </c>
      <c r="N16" s="65" t="str">
        <f t="shared" ca="1" si="2"/>
        <v/>
      </c>
      <c r="O16" s="65" t="str">
        <f t="shared" ca="1" si="3"/>
        <v/>
      </c>
      <c r="P16" s="65" t="str">
        <f t="shared" ca="1" si="4"/>
        <v/>
      </c>
      <c r="Q16" t="str">
        <f ca="1">IF(J16&lt;&gt;"",SQRT(GM_primary*(2/OFFSET(Data!$D$6,Transfer!H16,0)-1/SemiMajorAxis)),"")</f>
        <v/>
      </c>
      <c r="R16" s="69" t="str">
        <f ca="1">IF(J16&lt;&gt;"",SQRT((Q16*SIN(P16/180*PI()))^2+(Q16*COS(P16/180*PI())-OFFSET(Data!$H$6,Transfer!H16,0)*1000)^2)/1000,"")</f>
        <v/>
      </c>
      <c r="S16" s="65">
        <f ca="1">SQRT(G*OFFSET(Data!$B$6,Transfer!H16,0)/SUM(OFFSET(Data!$C$6,Transfer!H16,0),Transfer!$C$28*1000))/1000</f>
        <v>0</v>
      </c>
      <c r="T16" s="65">
        <f t="shared" ca="1" si="5"/>
        <v>0</v>
      </c>
      <c r="U16" s="73" t="str">
        <f t="shared" ca="1" si="6"/>
        <v/>
      </c>
      <c r="V16" s="73" t="str">
        <f t="shared" ca="1" si="7"/>
        <v/>
      </c>
      <c r="X16" s="65" t="str">
        <f ca="1">IF(J16&lt;&gt;"",K16-MOD(SQRT(GM_primary/OFFSET(Data!$D$6,Transfer!H16,0)^3)*Transfer!O16*86400*360/PI(),360),"")</f>
        <v/>
      </c>
    </row>
    <row r="17" spans="2:24" x14ac:dyDescent="0.35">
      <c r="H17" s="63">
        <v>16</v>
      </c>
      <c r="I17" t="str">
        <f>Data!A22</f>
        <v>S16</v>
      </c>
      <c r="J17" s="17" t="str">
        <f ca="1">IF(AND($B$25&lt;OFFSET(Data!$D$6,Transfer!H17,0),OFFSET(Data!$D$6,Transfer!H17,0)&lt;Transfer!$C$25),"Reach","")</f>
        <v/>
      </c>
      <c r="K17" s="65" t="str">
        <f ca="1">IF(J17&lt;&gt;"",ACOS(($C$21*(1-$C$22^2)/OFFSET(Data!$D$6,H17,0)-1)/$C$22)*180/PI(),"")</f>
        <v/>
      </c>
      <c r="L17" s="65" t="e">
        <f t="shared" ca="1" si="0"/>
        <v>#N/A</v>
      </c>
      <c r="M17" s="65" t="str">
        <f t="shared" ca="1" si="1"/>
        <v/>
      </c>
      <c r="N17" s="65" t="str">
        <f t="shared" ca="1" si="2"/>
        <v/>
      </c>
      <c r="O17" s="65" t="str">
        <f t="shared" ca="1" si="3"/>
        <v/>
      </c>
      <c r="P17" s="65" t="str">
        <f t="shared" ca="1" si="4"/>
        <v/>
      </c>
      <c r="Q17" t="str">
        <f ca="1">IF(J17&lt;&gt;"",SQRT(GM_primary*(2/OFFSET(Data!$D$6,Transfer!H17,0)-1/SemiMajorAxis)),"")</f>
        <v/>
      </c>
      <c r="R17" s="69" t="str">
        <f ca="1">IF(J17&lt;&gt;"",SQRT((Q17*SIN(P17/180*PI()))^2+(Q17*COS(P17/180*PI())-OFFSET(Data!$H$6,Transfer!H17,0)*1000)^2)/1000,"")</f>
        <v/>
      </c>
      <c r="S17" s="65">
        <f ca="1">SQRT(G*OFFSET(Data!$B$6,Transfer!H17,0)/SUM(OFFSET(Data!$C$6,Transfer!H17,0),Transfer!$C$28*1000))/1000</f>
        <v>0</v>
      </c>
      <c r="T17" s="65">
        <f t="shared" ca="1" si="5"/>
        <v>0</v>
      </c>
      <c r="U17" s="73" t="str">
        <f t="shared" ca="1" si="6"/>
        <v/>
      </c>
      <c r="V17" s="73" t="str">
        <f t="shared" ca="1" si="7"/>
        <v/>
      </c>
      <c r="X17" s="65" t="str">
        <f ca="1">IF(J17&lt;&gt;"",K17-MOD(SQRT(GM_primary/OFFSET(Data!$D$6,Transfer!H17,0)^3)*Transfer!O17*86400*360/PI(),360),"")</f>
        <v/>
      </c>
    </row>
    <row r="18" spans="2:24" x14ac:dyDescent="0.35">
      <c r="B18" s="61" t="str">
        <f>IF(C13,"Vap","Vpe")</f>
        <v>Vap</v>
      </c>
      <c r="C18" s="50">
        <f ca="1">SQRT(GM_primary*(2/C19-1/C21))/1000</f>
        <v>0.67282843877327614</v>
      </c>
      <c r="D18" s="61" t="s">
        <v>62</v>
      </c>
      <c r="H18" s="63">
        <v>17</v>
      </c>
      <c r="I18" t="str">
        <f>Data!A23</f>
        <v>S17</v>
      </c>
      <c r="J18" s="17" t="str">
        <f ca="1">IF(AND($B$25&lt;OFFSET(Data!$D$6,Transfer!H18,0),OFFSET(Data!$D$6,Transfer!H18,0)&lt;Transfer!$C$25),"Reach","")</f>
        <v/>
      </c>
      <c r="K18" s="65" t="str">
        <f ca="1">IF(J18&lt;&gt;"",ACOS(($C$21*(1-$C$22^2)/OFFSET(Data!$D$6,H18,0)-1)/$C$22)*180/PI(),"")</f>
        <v/>
      </c>
      <c r="L18" s="65" t="e">
        <f t="shared" ca="1" si="0"/>
        <v>#N/A</v>
      </c>
      <c r="M18" s="65" t="str">
        <f t="shared" ca="1" si="1"/>
        <v/>
      </c>
      <c r="N18" s="65" t="str">
        <f t="shared" ca="1" si="2"/>
        <v/>
      </c>
      <c r="O18" s="65" t="str">
        <f t="shared" ca="1" si="3"/>
        <v/>
      </c>
      <c r="P18" s="65" t="str">
        <f t="shared" ca="1" si="4"/>
        <v/>
      </c>
      <c r="Q18" t="str">
        <f ca="1">IF(J18&lt;&gt;"",SQRT(GM_primary*(2/OFFSET(Data!$D$6,Transfer!H18,0)-1/SemiMajorAxis)),"")</f>
        <v/>
      </c>
      <c r="R18" s="69" t="str">
        <f ca="1">IF(J18&lt;&gt;"",SQRT((Q18*SIN(P18/180*PI()))^2+(Q18*COS(P18/180*PI())-OFFSET(Data!$H$6,Transfer!H18,0)*1000)^2)/1000,"")</f>
        <v/>
      </c>
      <c r="S18" s="65">
        <f ca="1">SQRT(G*OFFSET(Data!$B$6,Transfer!H18,0)/SUM(OFFSET(Data!$C$6,Transfer!H18,0),Transfer!$C$28*1000))/1000</f>
        <v>0</v>
      </c>
      <c r="T18" s="65">
        <f t="shared" ca="1" si="5"/>
        <v>0</v>
      </c>
      <c r="U18" s="73" t="str">
        <f t="shared" ca="1" si="6"/>
        <v/>
      </c>
      <c r="V18" s="73" t="str">
        <f t="shared" ca="1" si="7"/>
        <v/>
      </c>
      <c r="X18" s="65" t="str">
        <f ca="1">IF(J18&lt;&gt;"",K18-MOD(SQRT(GM_primary/OFFSET(Data!$D$6,Transfer!H18,0)^3)*Transfer!O18*86400*360/PI(),360),"")</f>
        <v/>
      </c>
    </row>
    <row r="19" spans="2:24" x14ac:dyDescent="0.35">
      <c r="B19" t="str">
        <f>IF(C13,"Hap","Hpe")</f>
        <v>Hap</v>
      </c>
      <c r="C19">
        <f ca="1">C21*2-OFFSET(Data!D6,Transfer!C2,0)</f>
        <v>-9441104192322.627</v>
      </c>
      <c r="D19" s="61" t="s">
        <v>73</v>
      </c>
      <c r="H19" s="63">
        <v>18</v>
      </c>
      <c r="I19" t="str">
        <f>Data!A24</f>
        <v>S18</v>
      </c>
      <c r="J19" s="17" t="str">
        <f ca="1">IF(AND($B$25&lt;OFFSET(Data!$D$6,Transfer!H19,0),OFFSET(Data!$D$6,Transfer!H19,0)&lt;Transfer!$C$25),"Reach","")</f>
        <v/>
      </c>
      <c r="K19" s="65" t="str">
        <f ca="1">IF(J19&lt;&gt;"",ACOS(($C$21*(1-$C$22^2)/OFFSET(Data!$D$6,H19,0)-1)/$C$22)*180/PI(),"")</f>
        <v/>
      </c>
      <c r="L19" s="65" t="e">
        <f t="shared" ca="1" si="0"/>
        <v>#N/A</v>
      </c>
      <c r="M19" s="65" t="str">
        <f t="shared" ca="1" si="1"/>
        <v/>
      </c>
      <c r="N19" s="65" t="str">
        <f t="shared" ca="1" si="2"/>
        <v/>
      </c>
      <c r="O19" s="65" t="str">
        <f t="shared" ca="1" si="3"/>
        <v/>
      </c>
      <c r="P19" s="65" t="str">
        <f t="shared" ca="1" si="4"/>
        <v/>
      </c>
      <c r="Q19" t="str">
        <f ca="1">IF(J19&lt;&gt;"",SQRT(GM_primary*(2/OFFSET(Data!$D$6,Transfer!H19,0)-1/SemiMajorAxis)),"")</f>
        <v/>
      </c>
      <c r="R19" s="69" t="str">
        <f ca="1">IF(J19&lt;&gt;"",SQRT((Q19*SIN(P19/180*PI()))^2+(Q19*COS(P19/180*PI())-OFFSET(Data!$H$6,Transfer!H19,0)*1000)^2)/1000,"")</f>
        <v/>
      </c>
      <c r="S19" s="65">
        <f ca="1">SQRT(G*OFFSET(Data!$B$6,Transfer!H19,0)/SUM(OFFSET(Data!$C$6,Transfer!H19,0),Transfer!$C$28*1000))/1000</f>
        <v>0</v>
      </c>
      <c r="T19" s="65">
        <f t="shared" ca="1" si="5"/>
        <v>0</v>
      </c>
      <c r="U19" s="73" t="str">
        <f t="shared" ca="1" si="6"/>
        <v/>
      </c>
      <c r="V19" s="73" t="str">
        <f t="shared" ca="1" si="7"/>
        <v/>
      </c>
      <c r="X19" s="65" t="str">
        <f ca="1">IF(J19&lt;&gt;"",K19-MOD(SQRT(GM_primary/OFFSET(Data!$D$6,Transfer!H19,0)^3)*Transfer!O19*86400*360/PI(),360),"")</f>
        <v/>
      </c>
    </row>
    <row r="20" spans="2:24" x14ac:dyDescent="0.35">
      <c r="H20" s="63">
        <v>19</v>
      </c>
      <c r="I20" t="str">
        <f>Data!A25</f>
        <v>S19</v>
      </c>
      <c r="J20" s="17" t="str">
        <f ca="1">IF(AND($B$25&lt;OFFSET(Data!$D$6,Transfer!H20,0),OFFSET(Data!$D$6,Transfer!H20,0)&lt;Transfer!$C$25),"Reach","")</f>
        <v/>
      </c>
      <c r="K20" s="65" t="str">
        <f ca="1">IF(J20&lt;&gt;"",ACOS(($C$21*(1-$C$22^2)/OFFSET(Data!$D$6,H20,0)-1)/$C$22)*180/PI(),"")</f>
        <v/>
      </c>
      <c r="L20" s="65" t="e">
        <f t="shared" ca="1" si="0"/>
        <v>#N/A</v>
      </c>
      <c r="M20" s="65" t="str">
        <f t="shared" ca="1" si="1"/>
        <v/>
      </c>
      <c r="N20" s="65" t="str">
        <f t="shared" ca="1" si="2"/>
        <v/>
      </c>
      <c r="O20" s="65" t="str">
        <f t="shared" ca="1" si="3"/>
        <v/>
      </c>
      <c r="P20" s="65" t="str">
        <f t="shared" ca="1" si="4"/>
        <v/>
      </c>
      <c r="Q20" t="str">
        <f ca="1">IF(J20&lt;&gt;"",SQRT(GM_primary*(2/OFFSET(Data!$D$6,Transfer!H20,0)-1/SemiMajorAxis)),"")</f>
        <v/>
      </c>
      <c r="R20" s="69" t="str">
        <f ca="1">IF(J20&lt;&gt;"",SQRT((Q20*SIN(P20/180*PI()))^2+(Q20*COS(P20/180*PI())-OFFSET(Data!$H$6,Transfer!H20,0)*1000)^2)/1000,"")</f>
        <v/>
      </c>
      <c r="S20" s="65">
        <f ca="1">SQRT(G*OFFSET(Data!$B$6,Transfer!H20,0)/SUM(OFFSET(Data!$C$6,Transfer!H20,0),Transfer!$C$28*1000))/1000</f>
        <v>0</v>
      </c>
      <c r="T20" s="65">
        <f t="shared" ca="1" si="5"/>
        <v>0</v>
      </c>
      <c r="U20" s="73" t="str">
        <f t="shared" ca="1" si="6"/>
        <v/>
      </c>
      <c r="V20" s="73" t="str">
        <f t="shared" ca="1" si="7"/>
        <v/>
      </c>
      <c r="X20" s="65" t="str">
        <f ca="1">IF(J20&lt;&gt;"",K20-MOD(SQRT(GM_primary/OFFSET(Data!$D$6,Transfer!H20,0)^3)*Transfer!O20*86400*360/PI(),360),"")</f>
        <v/>
      </c>
    </row>
    <row r="21" spans="2:24" x14ac:dyDescent="0.35">
      <c r="B21" s="61" t="s">
        <v>72</v>
      </c>
      <c r="C21">
        <f ca="1">1/(2/OFFSET(Data!D6,Transfer!C2,0)-(C15*1000)^2/GM_primary)</f>
        <v>-4645752096161.3135</v>
      </c>
      <c r="D21" s="61" t="s">
        <v>73</v>
      </c>
      <c r="H21" s="63">
        <v>20</v>
      </c>
      <c r="I21" t="str">
        <f>Data!A26</f>
        <v>S20</v>
      </c>
      <c r="J21" s="17" t="str">
        <f ca="1">IF(AND($B$25&lt;OFFSET(Data!$D$6,Transfer!H21,0),OFFSET(Data!$D$6,Transfer!H21,0)&lt;Transfer!$C$25),"Reach","")</f>
        <v/>
      </c>
      <c r="K21" s="65" t="str">
        <f ca="1">IF(J21&lt;&gt;"",ACOS(($C$21*(1-$C$22^2)/OFFSET(Data!$D$6,H21,0)-1)/$C$22)*180/PI(),"")</f>
        <v/>
      </c>
      <c r="L21" s="65" t="e">
        <f t="shared" ca="1" si="0"/>
        <v>#N/A</v>
      </c>
      <c r="M21" s="65" t="str">
        <f t="shared" ca="1" si="1"/>
        <v/>
      </c>
      <c r="N21" s="65" t="str">
        <f t="shared" ca="1" si="2"/>
        <v/>
      </c>
      <c r="O21" s="65" t="str">
        <f t="shared" ca="1" si="3"/>
        <v/>
      </c>
      <c r="P21" s="65" t="str">
        <f t="shared" ca="1" si="4"/>
        <v/>
      </c>
      <c r="Q21" t="str">
        <f ca="1">IF(J21&lt;&gt;"",SQRT(GM_primary*(2/OFFSET(Data!$D$6,Transfer!H21,0)-1/SemiMajorAxis)),"")</f>
        <v/>
      </c>
      <c r="R21" s="69" t="str">
        <f ca="1">IF(J21&lt;&gt;"",SQRT((Q21*SIN(P21/180*PI()))^2+(Q21*COS(P21/180*PI())-OFFSET(Data!$H$6,Transfer!H21,0)*1000)^2)/1000,"")</f>
        <v/>
      </c>
      <c r="S21" s="65">
        <f ca="1">SQRT(G*OFFSET(Data!$B$6,Transfer!H21,0)/SUM(OFFSET(Data!$C$6,Transfer!H21,0),Transfer!$C$28*1000))/1000</f>
        <v>0</v>
      </c>
      <c r="T21" s="65">
        <f t="shared" ca="1" si="5"/>
        <v>0</v>
      </c>
      <c r="U21" s="73" t="str">
        <f t="shared" ca="1" si="6"/>
        <v/>
      </c>
      <c r="V21" s="73" t="str">
        <f t="shared" ca="1" si="7"/>
        <v/>
      </c>
      <c r="X21" s="65" t="str">
        <f ca="1">IF(J21&lt;&gt;"",K21-MOD(SQRT(GM_primary/OFFSET(Data!$D$6,Transfer!H21,0)^3)*Transfer!O21*86400*360/PI(),360),"")</f>
        <v/>
      </c>
    </row>
    <row r="22" spans="2:24" x14ac:dyDescent="0.35">
      <c r="B22" s="61" t="s">
        <v>75</v>
      </c>
      <c r="C22" s="50">
        <f ca="1">(C19-C16)/2/C21</f>
        <v>1.0322014599366185</v>
      </c>
      <c r="H22" s="63">
        <v>21</v>
      </c>
      <c r="I22" t="str">
        <f>Data!A27</f>
        <v>S21</v>
      </c>
      <c r="J22" s="17" t="str">
        <f ca="1">IF(AND($B$25&lt;OFFSET(Data!$D$6,Transfer!H22,0),OFFSET(Data!$D$6,Transfer!H22,0)&lt;Transfer!$C$25),"Reach","")</f>
        <v/>
      </c>
      <c r="K22" s="65" t="str">
        <f ca="1">IF(J22&lt;&gt;"",ACOS(($C$21*(1-$C$22^2)/OFFSET(Data!$D$6,H22,0)-1)/$C$22)*180/PI(),"")</f>
        <v/>
      </c>
      <c r="L22" s="65" t="e">
        <f t="shared" ca="1" si="0"/>
        <v>#N/A</v>
      </c>
      <c r="M22" s="65" t="str">
        <f t="shared" ca="1" si="1"/>
        <v/>
      </c>
      <c r="N22" s="65" t="str">
        <f t="shared" ca="1" si="2"/>
        <v/>
      </c>
      <c r="O22" s="65" t="str">
        <f t="shared" ca="1" si="3"/>
        <v/>
      </c>
      <c r="P22" s="65" t="str">
        <f t="shared" ca="1" si="4"/>
        <v/>
      </c>
      <c r="Q22" t="str">
        <f ca="1">IF(J22&lt;&gt;"",SQRT(GM_primary*(2/OFFSET(Data!$D$6,Transfer!H22,0)-1/SemiMajorAxis)),"")</f>
        <v/>
      </c>
      <c r="R22" s="69" t="str">
        <f ca="1">IF(J22&lt;&gt;"",SQRT((Q22*SIN(P22/180*PI()))^2+(Q22*COS(P22/180*PI())-OFFSET(Data!$H$6,Transfer!H22,0)*1000)^2)/1000,"")</f>
        <v/>
      </c>
      <c r="S22" s="65">
        <f ca="1">SQRT(G*OFFSET(Data!$B$6,Transfer!H22,0)/SUM(OFFSET(Data!$C$6,Transfer!H22,0),Transfer!$C$28*1000))/1000</f>
        <v>0</v>
      </c>
      <c r="T22" s="65">
        <f t="shared" ca="1" si="5"/>
        <v>0</v>
      </c>
      <c r="U22" s="73" t="str">
        <f t="shared" ca="1" si="6"/>
        <v/>
      </c>
      <c r="V22" s="73" t="str">
        <f t="shared" ca="1" si="7"/>
        <v/>
      </c>
      <c r="X22" s="65" t="str">
        <f ca="1">IF(J22&lt;&gt;"",K22-MOD(SQRT(GM_primary/OFFSET(Data!$D$6,Transfer!H22,0)^3)*Transfer!O22*86400*360/PI(),360),"")</f>
        <v/>
      </c>
    </row>
    <row r="23" spans="2:24" x14ac:dyDescent="0.35">
      <c r="B23" s="61" t="s">
        <v>76</v>
      </c>
      <c r="C23" s="68" t="str">
        <f ca="1">IF(SemiMajorAxis&gt;0,SQRT(C21^3*4*PI()^2/GM_primary)/86400,"INFINITE")</f>
        <v>INFINITE</v>
      </c>
      <c r="D23" s="61" t="s">
        <v>77</v>
      </c>
      <c r="H23" s="63">
        <v>22</v>
      </c>
      <c r="I23" t="str">
        <f>Data!A28</f>
        <v>S22</v>
      </c>
      <c r="J23" s="17" t="str">
        <f ca="1">IF(AND($B$25&lt;OFFSET(Data!$D$6,Transfer!H23,0),OFFSET(Data!$D$6,Transfer!H23,0)&lt;Transfer!$C$25),"Reach","")</f>
        <v/>
      </c>
      <c r="K23" s="65" t="str">
        <f ca="1">IF(J23&lt;&gt;"",ACOS(($C$21*(1-$C$22^2)/OFFSET(Data!$D$6,H23,0)-1)/$C$22)*180/PI(),"")</f>
        <v/>
      </c>
      <c r="L23" s="65" t="e">
        <f t="shared" ca="1" si="0"/>
        <v>#N/A</v>
      </c>
      <c r="M23" s="65" t="str">
        <f t="shared" ca="1" si="1"/>
        <v/>
      </c>
      <c r="N23" s="65" t="str">
        <f t="shared" ca="1" si="2"/>
        <v/>
      </c>
      <c r="O23" s="65" t="str">
        <f t="shared" ca="1" si="3"/>
        <v/>
      </c>
      <c r="P23" s="65" t="str">
        <f t="shared" ca="1" si="4"/>
        <v/>
      </c>
      <c r="Q23" t="str">
        <f ca="1">IF(J23&lt;&gt;"",SQRT(GM_primary*(2/OFFSET(Data!$D$6,Transfer!H23,0)-1/SemiMajorAxis)),"")</f>
        <v/>
      </c>
      <c r="R23" s="69" t="str">
        <f ca="1">IF(J23&lt;&gt;"",SQRT((Q23*SIN(P23/180*PI()))^2+(Q23*COS(P23/180*PI())-OFFSET(Data!$H$6,Transfer!H23,0)*1000)^2)/1000,"")</f>
        <v/>
      </c>
      <c r="S23" s="65">
        <f ca="1">SQRT(G*OFFSET(Data!$B$6,Transfer!H23,0)/SUM(OFFSET(Data!$C$6,Transfer!H23,0),Transfer!$C$28*1000))/1000</f>
        <v>0</v>
      </c>
      <c r="T23" s="65">
        <f t="shared" ca="1" si="5"/>
        <v>0</v>
      </c>
      <c r="U23" s="73" t="str">
        <f t="shared" ca="1" si="6"/>
        <v/>
      </c>
      <c r="V23" s="73" t="str">
        <f t="shared" ca="1" si="7"/>
        <v/>
      </c>
      <c r="X23" s="65" t="str">
        <f ca="1">IF(J23&lt;&gt;"",K23-MOD(SQRT(GM_primary/OFFSET(Data!$D$6,Transfer!H23,0)^3)*Transfer!O23*86400*360/PI(),360),"")</f>
        <v/>
      </c>
    </row>
    <row r="24" spans="2:24" x14ac:dyDescent="0.35">
      <c r="H24" s="63">
        <v>23</v>
      </c>
      <c r="I24" t="str">
        <f>Data!A29</f>
        <v>S23</v>
      </c>
      <c r="J24" s="17" t="str">
        <f ca="1">IF(AND($B$25&lt;OFFSET(Data!$D$6,Transfer!H24,0),OFFSET(Data!$D$6,Transfer!H24,0)&lt;Transfer!$C$25),"Reach","")</f>
        <v/>
      </c>
      <c r="K24" s="65" t="str">
        <f ca="1">IF(J24&lt;&gt;"",ACOS(($C$21*(1-$C$22^2)/OFFSET(Data!$D$6,H24,0)-1)/$C$22)*180/PI(),"")</f>
        <v/>
      </c>
      <c r="L24" s="65" t="e">
        <f t="shared" ca="1" si="0"/>
        <v>#N/A</v>
      </c>
      <c r="M24" s="65" t="str">
        <f t="shared" ca="1" si="1"/>
        <v/>
      </c>
      <c r="N24" s="65" t="str">
        <f t="shared" ca="1" si="2"/>
        <v/>
      </c>
      <c r="O24" s="65" t="str">
        <f t="shared" ca="1" si="3"/>
        <v/>
      </c>
      <c r="P24" s="65" t="str">
        <f t="shared" ca="1" si="4"/>
        <v/>
      </c>
      <c r="Q24" t="str">
        <f ca="1">IF(J24&lt;&gt;"",SQRT(GM_primary*(2/OFFSET(Data!$D$6,Transfer!H24,0)-1/SemiMajorAxis)),"")</f>
        <v/>
      </c>
      <c r="R24" s="69" t="str">
        <f ca="1">IF(J24&lt;&gt;"",SQRT((Q24*SIN(P24/180*PI()))^2+(Q24*COS(P24/180*PI())-OFFSET(Data!$H$6,Transfer!H24,0)*1000)^2)/1000,"")</f>
        <v/>
      </c>
      <c r="S24" s="65">
        <f ca="1">SQRT(G*OFFSET(Data!$B$6,Transfer!H24,0)/SUM(OFFSET(Data!$C$6,Transfer!H24,0),Transfer!$C$28*1000))/1000</f>
        <v>0</v>
      </c>
      <c r="T24" s="65">
        <f t="shared" ca="1" si="5"/>
        <v>0</v>
      </c>
      <c r="U24" s="73" t="str">
        <f t="shared" ca="1" si="6"/>
        <v/>
      </c>
      <c r="V24" s="73" t="str">
        <f t="shared" ca="1" si="7"/>
        <v/>
      </c>
      <c r="X24" s="65" t="str">
        <f ca="1">IF(J24&lt;&gt;"",K24-MOD(SQRT(GM_primary/OFFSET(Data!$D$6,Transfer!H24,0)^3)*Transfer!O24*86400*360/PI(),360),"")</f>
        <v/>
      </c>
    </row>
    <row r="25" spans="2:24" x14ac:dyDescent="0.35">
      <c r="B25" s="66">
        <f ca="1">IF(C19&gt;0,MIN(C16,C19),C16)</f>
        <v>149600000000</v>
      </c>
      <c r="C25" s="67">
        <f ca="1">IF(C19&gt;0,MAX(C16:C19),9E+307)</f>
        <v>9.0000000000000005E+307</v>
      </c>
      <c r="H25" s="63">
        <v>24</v>
      </c>
      <c r="I25" t="str">
        <f>Data!A30</f>
        <v>S24</v>
      </c>
      <c r="J25" s="17" t="str">
        <f ca="1">IF(AND($B$25&lt;OFFSET(Data!$D$6,Transfer!H25,0),OFFSET(Data!$D$6,Transfer!H25,0)&lt;Transfer!$C$25),"Reach","")</f>
        <v/>
      </c>
      <c r="K25" s="65" t="str">
        <f ca="1">IF(J25&lt;&gt;"",ACOS(($C$21*(1-$C$22^2)/OFFSET(Data!$D$6,H25,0)-1)/$C$22)*180/PI(),"")</f>
        <v/>
      </c>
      <c r="L25" s="65" t="e">
        <f t="shared" ca="1" si="0"/>
        <v>#N/A</v>
      </c>
      <c r="M25" s="65" t="str">
        <f t="shared" ca="1" si="1"/>
        <v/>
      </c>
      <c r="N25" s="65" t="str">
        <f t="shared" ca="1" si="2"/>
        <v/>
      </c>
      <c r="O25" s="65" t="str">
        <f t="shared" ca="1" si="3"/>
        <v/>
      </c>
      <c r="P25" s="65" t="str">
        <f t="shared" ca="1" si="4"/>
        <v/>
      </c>
      <c r="Q25" t="str">
        <f ca="1">IF(J25&lt;&gt;"",SQRT(GM_primary*(2/OFFSET(Data!$D$6,Transfer!H25,0)-1/SemiMajorAxis)),"")</f>
        <v/>
      </c>
      <c r="R25" s="69" t="str">
        <f ca="1">IF(J25&lt;&gt;"",SQRT((Q25*SIN(P25/180*PI()))^2+(Q25*COS(P25/180*PI())-OFFSET(Data!$H$6,Transfer!H25,0)*1000)^2)/1000,"")</f>
        <v/>
      </c>
      <c r="S25" s="65">
        <f ca="1">SQRT(G*OFFSET(Data!$B$6,Transfer!H25,0)/SUM(OFFSET(Data!$C$6,Transfer!H25,0),Transfer!$C$28*1000))/1000</f>
        <v>0</v>
      </c>
      <c r="T25" s="65">
        <f t="shared" ca="1" si="5"/>
        <v>0</v>
      </c>
      <c r="U25" s="73" t="str">
        <f t="shared" ca="1" si="6"/>
        <v/>
      </c>
      <c r="V25" s="73" t="str">
        <f t="shared" ca="1" si="7"/>
        <v/>
      </c>
      <c r="X25" s="65" t="str">
        <f ca="1">IF(J25&lt;&gt;"",K25-MOD(SQRT(GM_primary/OFFSET(Data!$D$6,Transfer!H25,0)^3)*Transfer!O25*86400*360/PI(),360),"")</f>
        <v/>
      </c>
    </row>
    <row r="26" spans="2:24" x14ac:dyDescent="0.35">
      <c r="H26" s="63">
        <v>25</v>
      </c>
      <c r="I26" t="str">
        <f>Data!A31</f>
        <v>S25</v>
      </c>
      <c r="J26" s="17" t="str">
        <f ca="1">IF(AND($B$25&lt;OFFSET(Data!$D$6,Transfer!H26,0),OFFSET(Data!$D$6,Transfer!H26,0)&lt;Transfer!$C$25),"Reach","")</f>
        <v/>
      </c>
      <c r="K26" s="65" t="str">
        <f ca="1">IF(J26&lt;&gt;"",ACOS(($C$21*(1-$C$22^2)/OFFSET(Data!$D$6,H26,0)-1)/$C$22)*180/PI(),"")</f>
        <v/>
      </c>
      <c r="L26" s="65" t="e">
        <f t="shared" ca="1" si="0"/>
        <v>#N/A</v>
      </c>
      <c r="M26" s="65" t="str">
        <f t="shared" ca="1" si="1"/>
        <v/>
      </c>
      <c r="N26" s="65" t="str">
        <f t="shared" ca="1" si="2"/>
        <v/>
      </c>
      <c r="O26" s="65" t="str">
        <f t="shared" ca="1" si="3"/>
        <v/>
      </c>
      <c r="P26" s="65" t="str">
        <f t="shared" ca="1" si="4"/>
        <v/>
      </c>
      <c r="Q26" t="str">
        <f ca="1">IF(J26&lt;&gt;"",SQRT(GM_primary*(2/OFFSET(Data!$D$6,Transfer!H26,0)-1/SemiMajorAxis)),"")</f>
        <v/>
      </c>
      <c r="R26" s="69" t="str">
        <f ca="1">IF(J26&lt;&gt;"",SQRT((Q26*SIN(P26/180*PI()))^2+(Q26*COS(P26/180*PI())-OFFSET(Data!$H$6,Transfer!H26,0)*1000)^2)/1000,"")</f>
        <v/>
      </c>
      <c r="S26" s="65">
        <f ca="1">SQRT(G*OFFSET(Data!$B$6,Transfer!H26,0)/SUM(OFFSET(Data!$C$6,Transfer!H26,0),Transfer!$C$28*1000))/1000</f>
        <v>0</v>
      </c>
      <c r="T26" s="65">
        <f t="shared" ca="1" si="5"/>
        <v>0</v>
      </c>
      <c r="U26" s="73" t="str">
        <f t="shared" ca="1" si="6"/>
        <v/>
      </c>
      <c r="V26" s="73" t="str">
        <f t="shared" ca="1" si="7"/>
        <v/>
      </c>
      <c r="X26" s="65" t="str">
        <f ca="1">IF(J26&lt;&gt;"",K26-MOD(SQRT(GM_primary/OFFSET(Data!$D$6,Transfer!H26,0)^3)*Transfer!O26*86400*360/PI(),360),"")</f>
        <v/>
      </c>
    </row>
    <row r="27" spans="2:24" x14ac:dyDescent="0.35">
      <c r="H27" s="63">
        <v>26</v>
      </c>
      <c r="I27" t="str">
        <f>Data!A32</f>
        <v>S26</v>
      </c>
      <c r="J27" s="17" t="str">
        <f ca="1">IF(AND($B$25&lt;OFFSET(Data!$D$6,Transfer!H27,0),OFFSET(Data!$D$6,Transfer!H27,0)&lt;Transfer!$C$25),"Reach","")</f>
        <v/>
      </c>
      <c r="K27" s="65" t="str">
        <f ca="1">IF(J27&lt;&gt;"",ACOS(($C$21*(1-$C$22^2)/OFFSET(Data!$D$6,H27,0)-1)/$C$22)*180/PI(),"")</f>
        <v/>
      </c>
      <c r="L27" s="65" t="e">
        <f t="shared" ca="1" si="0"/>
        <v>#N/A</v>
      </c>
      <c r="M27" s="65" t="str">
        <f t="shared" ca="1" si="1"/>
        <v/>
      </c>
      <c r="N27" s="65" t="str">
        <f t="shared" ca="1" si="2"/>
        <v/>
      </c>
      <c r="O27" s="65" t="str">
        <f t="shared" ca="1" si="3"/>
        <v/>
      </c>
      <c r="P27" s="65" t="str">
        <f t="shared" ca="1" si="4"/>
        <v/>
      </c>
      <c r="Q27" t="str">
        <f ca="1">IF(J27&lt;&gt;"",SQRT(GM_primary*(2/OFFSET(Data!$D$6,Transfer!H27,0)-1/SemiMajorAxis)),"")</f>
        <v/>
      </c>
      <c r="R27" s="69" t="str">
        <f ca="1">IF(J27&lt;&gt;"",SQRT((Q27*SIN(P27/180*PI()))^2+(Q27*COS(P27/180*PI())-OFFSET(Data!$H$6,Transfer!H27,0)*1000)^2)/1000,"")</f>
        <v/>
      </c>
      <c r="S27" s="65">
        <f ca="1">SQRT(G*OFFSET(Data!$B$6,Transfer!H27,0)/SUM(OFFSET(Data!$C$6,Transfer!H27,0),Transfer!$C$28*1000))/1000</f>
        <v>0</v>
      </c>
      <c r="T27" s="65">
        <f t="shared" ca="1" si="5"/>
        <v>0</v>
      </c>
      <c r="U27" s="73" t="str">
        <f t="shared" ca="1" si="6"/>
        <v/>
      </c>
      <c r="V27" s="73" t="str">
        <f t="shared" ca="1" si="7"/>
        <v/>
      </c>
      <c r="X27" s="65" t="str">
        <f ca="1">IF(J27&lt;&gt;"",K27-MOD(SQRT(GM_primary/OFFSET(Data!$D$6,Transfer!H27,0)^3)*Transfer!O27*86400*360/PI(),360),"")</f>
        <v/>
      </c>
    </row>
    <row r="28" spans="2:24" x14ac:dyDescent="0.35">
      <c r="B28" s="61" t="s">
        <v>82</v>
      </c>
      <c r="C28">
        <v>100</v>
      </c>
      <c r="D28" s="61" t="s">
        <v>64</v>
      </c>
      <c r="H28" s="63">
        <v>27</v>
      </c>
      <c r="I28" t="str">
        <f>Data!A33</f>
        <v>S27</v>
      </c>
      <c r="J28" s="17" t="str">
        <f ca="1">IF(AND($B$25&lt;OFFSET(Data!$D$6,Transfer!H28,0),OFFSET(Data!$D$6,Transfer!H28,0)&lt;Transfer!$C$25),"Reach","")</f>
        <v/>
      </c>
      <c r="K28" s="65" t="str">
        <f ca="1">IF(J28&lt;&gt;"",ACOS(($C$21*(1-$C$22^2)/OFFSET(Data!$D$6,H28,0)-1)/$C$22)*180/PI(),"")</f>
        <v/>
      </c>
      <c r="L28" s="65" t="e">
        <f t="shared" ca="1" si="0"/>
        <v>#N/A</v>
      </c>
      <c r="M28" s="65" t="str">
        <f t="shared" ca="1" si="1"/>
        <v/>
      </c>
      <c r="N28" s="65" t="str">
        <f t="shared" ca="1" si="2"/>
        <v/>
      </c>
      <c r="O28" s="65" t="str">
        <f t="shared" ca="1" si="3"/>
        <v/>
      </c>
      <c r="P28" s="65" t="str">
        <f t="shared" ca="1" si="4"/>
        <v/>
      </c>
      <c r="Q28" t="str">
        <f ca="1">IF(J28&lt;&gt;"",SQRT(GM_primary*(2/OFFSET(Data!$D$6,Transfer!H28,0)-1/SemiMajorAxis)),"")</f>
        <v/>
      </c>
      <c r="R28" s="69" t="str">
        <f ca="1">IF(J28&lt;&gt;"",SQRT((Q28*SIN(P28/180*PI()))^2+(Q28*COS(P28/180*PI())-OFFSET(Data!$H$6,Transfer!H28,0)*1000)^2)/1000,"")</f>
        <v/>
      </c>
      <c r="S28" s="65">
        <f ca="1">SQRT(G*OFFSET(Data!$B$6,Transfer!H28,0)/SUM(OFFSET(Data!$C$6,Transfer!H28,0),Transfer!$C$28*1000))/1000</f>
        <v>0</v>
      </c>
      <c r="T28" s="65">
        <f t="shared" ca="1" si="5"/>
        <v>0</v>
      </c>
      <c r="U28" s="73" t="str">
        <f t="shared" ca="1" si="6"/>
        <v/>
      </c>
      <c r="V28" s="73" t="str">
        <f t="shared" ca="1" si="7"/>
        <v/>
      </c>
      <c r="X28" s="65" t="str">
        <f ca="1">IF(J28&lt;&gt;"",K28-MOD(SQRT(GM_primary/OFFSET(Data!$D$6,Transfer!H28,0)^3)*Transfer!O28*86400*360/PI(),360),"")</f>
        <v/>
      </c>
    </row>
    <row r="29" spans="2:24" x14ac:dyDescent="0.35">
      <c r="H29" s="63">
        <v>28</v>
      </c>
      <c r="I29" t="str">
        <f>Data!A34</f>
        <v>S28</v>
      </c>
      <c r="J29" s="17" t="str">
        <f ca="1">IF(AND($B$25&lt;OFFSET(Data!$D$6,Transfer!H29,0),OFFSET(Data!$D$6,Transfer!H29,0)&lt;Transfer!$C$25),"Reach","")</f>
        <v/>
      </c>
      <c r="K29" s="65" t="str">
        <f ca="1">IF(J29&lt;&gt;"",ACOS(($C$21*(1-$C$22^2)/OFFSET(Data!$D$6,H29,0)-1)/$C$22)*180/PI(),"")</f>
        <v/>
      </c>
      <c r="L29" s="65" t="e">
        <f t="shared" ca="1" si="0"/>
        <v>#N/A</v>
      </c>
      <c r="M29" s="65" t="str">
        <f t="shared" ca="1" si="1"/>
        <v/>
      </c>
      <c r="N29" s="65" t="str">
        <f t="shared" ca="1" si="2"/>
        <v/>
      </c>
      <c r="O29" s="65" t="str">
        <f t="shared" ca="1" si="3"/>
        <v/>
      </c>
      <c r="P29" s="65" t="str">
        <f t="shared" ca="1" si="4"/>
        <v/>
      </c>
      <c r="Q29" t="str">
        <f ca="1">IF(J29&lt;&gt;"",SQRT(GM_primary*(2/OFFSET(Data!$D$6,Transfer!H29,0)-1/SemiMajorAxis)),"")</f>
        <v/>
      </c>
      <c r="R29" s="69" t="str">
        <f ca="1">IF(J29&lt;&gt;"",SQRT((Q29*SIN(P29/180*PI()))^2+(Q29*COS(P29/180*PI())-OFFSET(Data!$H$6,Transfer!H29,0)*1000)^2)/1000,"")</f>
        <v/>
      </c>
      <c r="S29" s="65">
        <f ca="1">SQRT(G*OFFSET(Data!$B$6,Transfer!H29,0)/SUM(OFFSET(Data!$C$6,Transfer!H29,0),Transfer!$C$28*1000))/1000</f>
        <v>0</v>
      </c>
      <c r="T29" s="65">
        <f t="shared" ca="1" si="5"/>
        <v>0</v>
      </c>
      <c r="U29" s="73" t="str">
        <f t="shared" ca="1" si="6"/>
        <v/>
      </c>
      <c r="V29" s="73" t="str">
        <f t="shared" ca="1" si="7"/>
        <v/>
      </c>
      <c r="X29" s="65" t="str">
        <f ca="1">IF(J29&lt;&gt;"",K29-MOD(SQRT(GM_primary/OFFSET(Data!$D$6,Transfer!H29,0)^3)*Transfer!O29*86400*360/PI(),360),"")</f>
        <v/>
      </c>
    </row>
    <row r="30" spans="2:24" x14ac:dyDescent="0.35">
      <c r="H30" s="63">
        <v>29</v>
      </c>
      <c r="I30" t="str">
        <f>Data!A35</f>
        <v>S29</v>
      </c>
      <c r="J30" s="17" t="str">
        <f ca="1">IF(AND($B$25&lt;OFFSET(Data!$D$6,Transfer!H30,0),OFFSET(Data!$D$6,Transfer!H30,0)&lt;Transfer!$C$25),"Reach","")</f>
        <v/>
      </c>
      <c r="K30" s="65" t="str">
        <f ca="1">IF(J30&lt;&gt;"",ACOS(($C$21*(1-$C$22^2)/OFFSET(Data!$D$6,H30,0)-1)/$C$22)*180/PI(),"")</f>
        <v/>
      </c>
      <c r="L30" s="65" t="e">
        <f t="shared" ca="1" si="0"/>
        <v>#N/A</v>
      </c>
      <c r="M30" s="65" t="str">
        <f t="shared" ca="1" si="1"/>
        <v/>
      </c>
      <c r="N30" s="65" t="str">
        <f t="shared" ca="1" si="2"/>
        <v/>
      </c>
      <c r="O30" s="65" t="str">
        <f t="shared" ca="1" si="3"/>
        <v/>
      </c>
      <c r="P30" s="65" t="str">
        <f t="shared" ca="1" si="4"/>
        <v/>
      </c>
      <c r="Q30" t="str">
        <f ca="1">IF(J30&lt;&gt;"",SQRT(GM_primary*(2/OFFSET(Data!$D$6,Transfer!H30,0)-1/SemiMajorAxis)),"")</f>
        <v/>
      </c>
      <c r="R30" s="69" t="str">
        <f ca="1">IF(J30&lt;&gt;"",SQRT((Q30*SIN(P30/180*PI()))^2+(Q30*COS(P30/180*PI())-OFFSET(Data!$H$6,Transfer!H30,0)*1000)^2)/1000,"")</f>
        <v/>
      </c>
      <c r="S30" s="65">
        <f ca="1">SQRT(G*OFFSET(Data!$B$6,Transfer!H30,0)/SUM(OFFSET(Data!$C$6,Transfer!H30,0),Transfer!$C$28*1000))/1000</f>
        <v>0</v>
      </c>
      <c r="T30" s="65">
        <f t="shared" ca="1" si="5"/>
        <v>0</v>
      </c>
      <c r="U30" s="73" t="str">
        <f t="shared" ca="1" si="6"/>
        <v/>
      </c>
      <c r="V30" s="73" t="str">
        <f t="shared" ca="1" si="7"/>
        <v/>
      </c>
      <c r="X30" s="65" t="str">
        <f ca="1">IF(J30&lt;&gt;"",K30-MOD(SQRT(GM_primary/OFFSET(Data!$D$6,Transfer!H30,0)^3)*Transfer!O30*86400*360/PI(),360),"")</f>
        <v/>
      </c>
    </row>
    <row r="31" spans="2:24" x14ac:dyDescent="0.35">
      <c r="H31" s="63">
        <v>30</v>
      </c>
      <c r="I31" t="str">
        <f>Data!A36</f>
        <v>S30</v>
      </c>
      <c r="J31" s="17" t="str">
        <f ca="1">IF(AND($B$25&lt;OFFSET(Data!$D$6,Transfer!H31,0),OFFSET(Data!$D$6,Transfer!H31,0)&lt;Transfer!$C$25),"Reach","")</f>
        <v/>
      </c>
      <c r="K31" s="65" t="str">
        <f ca="1">IF(J31&lt;&gt;"",ACOS(($C$21*(1-$C$22^2)/OFFSET(Data!$D$6,H31,0)-1)/$C$22)*180/PI(),"")</f>
        <v/>
      </c>
      <c r="L31" s="65" t="e">
        <f t="shared" ca="1" si="0"/>
        <v>#N/A</v>
      </c>
      <c r="M31" s="65" t="str">
        <f t="shared" ca="1" si="1"/>
        <v/>
      </c>
      <c r="N31" s="65" t="str">
        <f t="shared" ca="1" si="2"/>
        <v/>
      </c>
      <c r="O31" s="65" t="str">
        <f t="shared" ca="1" si="3"/>
        <v/>
      </c>
      <c r="P31" s="65" t="str">
        <f t="shared" ca="1" si="4"/>
        <v/>
      </c>
      <c r="Q31" t="str">
        <f ca="1">IF(J31&lt;&gt;"",SQRT(GM_primary*(2/OFFSET(Data!$D$6,Transfer!H31,0)-1/SemiMajorAxis)),"")</f>
        <v/>
      </c>
      <c r="R31" s="69" t="str">
        <f ca="1">IF(J31&lt;&gt;"",SQRT((Q31*SIN(P31/180*PI()))^2+(Q31*COS(P31/180*PI())-OFFSET(Data!$H$6,Transfer!H31,0)*1000)^2)/1000,"")</f>
        <v/>
      </c>
      <c r="S31" s="65">
        <f ca="1">SQRT(G*OFFSET(Data!$B$6,Transfer!H31,0)/SUM(OFFSET(Data!$C$6,Transfer!H31,0),Transfer!$C$28*1000))/1000</f>
        <v>0</v>
      </c>
      <c r="T31" s="65">
        <f t="shared" ca="1" si="5"/>
        <v>0</v>
      </c>
      <c r="U31" s="73" t="str">
        <f t="shared" ca="1" si="6"/>
        <v/>
      </c>
      <c r="V31" s="73" t="str">
        <f t="shared" ca="1" si="7"/>
        <v/>
      </c>
      <c r="X31" s="65" t="str">
        <f ca="1">IF(J31&lt;&gt;"",K31-MOD(SQRT(GM_primary/OFFSET(Data!$D$6,Transfer!H31,0)^3)*Transfer!O31*86400*360/PI(),360),"")</f>
        <v/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2</xdr:col>
                    <xdr:colOff>4763</xdr:colOff>
                    <xdr:row>0</xdr:row>
                    <xdr:rowOff>300038</xdr:rowOff>
                  </from>
                  <to>
                    <xdr:col>3</xdr:col>
                    <xdr:colOff>100013</xdr:colOff>
                    <xdr:row>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 altText="PROGRADE_x000a_RETROGRADE_x000a_">
                <anchor moveWithCells="1">
                  <from>
                    <xdr:col>2</xdr:col>
                    <xdr:colOff>614363</xdr:colOff>
                    <xdr:row>11</xdr:row>
                    <xdr:rowOff>119063</xdr:rowOff>
                  </from>
                  <to>
                    <xdr:col>4</xdr:col>
                    <xdr:colOff>314325</xdr:colOff>
                    <xdr:row>13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38"/>
  <sheetViews>
    <sheetView topLeftCell="A17" workbookViewId="0">
      <selection activeCell="G11" sqref="G11"/>
    </sheetView>
  </sheetViews>
  <sheetFormatPr defaultRowHeight="12.75" x14ac:dyDescent="0.35"/>
  <cols>
    <col min="1" max="1" width="12.3984375" customWidth="1"/>
    <col min="2" max="2" width="10" bestFit="1" customWidth="1"/>
    <col min="6" max="6" width="10.3984375" customWidth="1"/>
    <col min="9" max="9" width="11.1328125" customWidth="1"/>
  </cols>
  <sheetData>
    <row r="1" spans="1:32" ht="15" x14ac:dyDescent="0.4">
      <c r="B1" s="8" t="s">
        <v>31</v>
      </c>
    </row>
    <row r="3" spans="1:32" x14ac:dyDescent="0.35">
      <c r="B3" s="5" t="str">
        <f>Data!A7</f>
        <v>Mercury</v>
      </c>
      <c r="C3" s="5" t="str">
        <f>Data!A8</f>
        <v>Venus</v>
      </c>
      <c r="D3" s="5" t="str">
        <f>Data!A9</f>
        <v>Earth</v>
      </c>
      <c r="E3" s="5" t="str">
        <f>Data!A10</f>
        <v>Mars</v>
      </c>
      <c r="F3" s="5" t="str">
        <f>Data!A11</f>
        <v>Ceres</v>
      </c>
      <c r="G3" s="5" t="str">
        <f>Data!A12</f>
        <v>Jupiter</v>
      </c>
      <c r="H3" s="5" t="str">
        <f>Data!A13</f>
        <v>Saturn</v>
      </c>
      <c r="I3" s="5" t="str">
        <f>Data!A14</f>
        <v>Uranus</v>
      </c>
      <c r="J3" s="5" t="str">
        <f>Data!A15</f>
        <v>Neptune</v>
      </c>
      <c r="K3" s="5" t="str">
        <f>Data!A16</f>
        <v>Pluto</v>
      </c>
      <c r="L3" s="5" t="str">
        <f>Data!A17</f>
        <v>S11</v>
      </c>
      <c r="M3" s="5" t="str">
        <f>Data!A18</f>
        <v>S12</v>
      </c>
      <c r="N3" s="5" t="str">
        <f>Data!A19</f>
        <v>S13</v>
      </c>
      <c r="O3" s="5" t="str">
        <f>Data!A20</f>
        <v>S14</v>
      </c>
      <c r="P3" s="5" t="str">
        <f>Data!A21</f>
        <v>S15</v>
      </c>
      <c r="Q3" s="5" t="str">
        <f>Data!A22</f>
        <v>S16</v>
      </c>
      <c r="R3" s="5" t="str">
        <f>Data!A23</f>
        <v>S17</v>
      </c>
      <c r="S3" s="5" t="str">
        <f>Data!A24</f>
        <v>S18</v>
      </c>
      <c r="T3" s="5" t="str">
        <f>Data!A25</f>
        <v>S19</v>
      </c>
      <c r="U3" s="5" t="str">
        <f>Data!A26</f>
        <v>S20</v>
      </c>
      <c r="V3" s="5" t="str">
        <f>Data!A27</f>
        <v>S21</v>
      </c>
      <c r="W3" s="5" t="str">
        <f>Data!A28</f>
        <v>S22</v>
      </c>
      <c r="X3" s="5" t="str">
        <f>Data!A29</f>
        <v>S23</v>
      </c>
      <c r="Y3" s="5" t="str">
        <f>Data!A30</f>
        <v>S24</v>
      </c>
      <c r="Z3" s="5" t="str">
        <f>Data!A31</f>
        <v>S25</v>
      </c>
      <c r="AA3" s="5" t="str">
        <f>Data!A32</f>
        <v>S26</v>
      </c>
      <c r="AB3" s="5" t="str">
        <f>Data!A33</f>
        <v>S27</v>
      </c>
      <c r="AC3" s="5" t="str">
        <f>Data!A34</f>
        <v>S28</v>
      </c>
      <c r="AD3" s="5" t="str">
        <f>Data!A35</f>
        <v>S29</v>
      </c>
      <c r="AE3" s="5" t="str">
        <f>Data!A36</f>
        <v>S30</v>
      </c>
    </row>
    <row r="4" spans="1:32" x14ac:dyDescent="0.35">
      <c r="A4" s="20" t="str">
        <f>Data!A7</f>
        <v>Mercury</v>
      </c>
      <c r="B4" s="27"/>
      <c r="C4" s="23">
        <f>1/((1/Data!E7)-(1/Data!$E$8))/Time_scale</f>
        <v>0.39606225375259518</v>
      </c>
      <c r="D4" s="23">
        <f>1/((1/Data!E7)-(1/Data!$E$9))/Time_scale</f>
        <v>0.31746343722240705</v>
      </c>
      <c r="E4" s="23">
        <f>1/((1/Data!E7)-(1/Data!$E$10))/Time_scale</f>
        <v>0.27640468373972599</v>
      </c>
      <c r="F4" s="23">
        <f>1/((1/Data!E7)-(1/Data!$E$11))/Time_scale</f>
        <v>0.25431195823887565</v>
      </c>
      <c r="G4" s="23">
        <f>1/((1/Data!E7)-(1/Data!$E$12))/Time_scale</f>
        <v>0.2459948870123814</v>
      </c>
      <c r="H4" s="23">
        <f>1/((1/Data!E7)-(1/Data!$E$13))/Time_scale</f>
        <v>0.24297759434751409</v>
      </c>
      <c r="I4" s="23">
        <f>1/((1/Data!E7)-(1/Data!$E$14))/Time_scale</f>
        <v>0.24169664198766497</v>
      </c>
      <c r="J4" s="23">
        <f>1/((1/Data!E7)-(1/Data!$E$15))/Time_scale</f>
        <v>0.24135770895018949</v>
      </c>
      <c r="K4" s="23">
        <f>1/((1/Data!E7)-(1/Data!$E$16))/Time_scale</f>
        <v>0.2412411873072153</v>
      </c>
      <c r="L4" s="23" t="e">
        <f>1/((1/Data!E7)-(1/Data!$E$17))/Time_scale</f>
        <v>#DIV/0!</v>
      </c>
      <c r="M4" s="23" t="e">
        <f>1/((1/Data!E7)-(1/Data!$E$18))/Time_scale</f>
        <v>#DIV/0!</v>
      </c>
      <c r="N4" s="23" t="e">
        <f>1/((1/Data!E7)-(1/Data!$E$19))/Time_scale</f>
        <v>#DIV/0!</v>
      </c>
      <c r="O4" s="23" t="e">
        <f>1/((1/Data!E7)-(1/Data!$E$20))/Time_scale</f>
        <v>#DIV/0!</v>
      </c>
      <c r="P4" s="23" t="e">
        <f>1/((1/Data!E7)-(1/Data!$E$21))/Time_scale</f>
        <v>#DIV/0!</v>
      </c>
      <c r="Q4" s="23" t="e">
        <f>1/((1/Data!E7)-(1/Data!$E$22))/Time_scale</f>
        <v>#DIV/0!</v>
      </c>
      <c r="R4" s="23" t="e">
        <f>1/((1/Data!E7)-(1/Data!$E$23))/Time_scale</f>
        <v>#DIV/0!</v>
      </c>
      <c r="S4" s="23" t="e">
        <f>1/((1/Data!E7)-(1/Data!$E$24))/Time_scale</f>
        <v>#DIV/0!</v>
      </c>
      <c r="T4" s="23" t="e">
        <f>1/((1/Data!E7)-(1/Data!$E$25))/Time_scale</f>
        <v>#DIV/0!</v>
      </c>
      <c r="U4" s="23" t="e">
        <f>1/((1/Data!E7)-(1/Data!$E$26))/Time_scale</f>
        <v>#DIV/0!</v>
      </c>
      <c r="V4" s="23" t="e">
        <f>1/((1/Data!E7)-(1/Data!$E$27))/Time_scale</f>
        <v>#DIV/0!</v>
      </c>
      <c r="W4" s="23" t="e">
        <f>1/((1/Data!E7)-(1/Data!$E$28))/Time_scale</f>
        <v>#DIV/0!</v>
      </c>
      <c r="X4" s="23" t="e">
        <f>1/((1/Data!E7)-(1/Data!$E$29))/Time_scale</f>
        <v>#DIV/0!</v>
      </c>
      <c r="Y4" s="23" t="e">
        <f>1/((1/Data!E7)-(1/Data!$E$30))/Time_scale</f>
        <v>#DIV/0!</v>
      </c>
      <c r="Z4" s="23" t="e">
        <f>1/((1/Data!E7)-(1/Data!$E$31))/Time_scale</f>
        <v>#DIV/0!</v>
      </c>
      <c r="AA4" s="23" t="e">
        <f>1/((1/Data!E7)-(1/Data!$E$32))/Time_scale</f>
        <v>#DIV/0!</v>
      </c>
      <c r="AB4" s="23" t="e">
        <f>1/((1/Data!E7)-(1/Data!$E$33))/Time_scale</f>
        <v>#DIV/0!</v>
      </c>
      <c r="AC4" s="23" t="e">
        <f>1/((1/Data!E7)-(1/Data!$E$34))/Time_scale</f>
        <v>#DIV/0!</v>
      </c>
      <c r="AD4" s="23" t="e">
        <f>1/((1/Data!E7)-(1/Data!$E$35))/Time_scale</f>
        <v>#DIV/0!</v>
      </c>
      <c r="AE4" s="23" t="e">
        <f>1/((1/Data!E7)-(1/Data!$E$36))/Time_scale</f>
        <v>#DIV/0!</v>
      </c>
      <c r="AF4" s="18" t="str">
        <f>Data!A7</f>
        <v>Mercury</v>
      </c>
    </row>
    <row r="5" spans="1:32" x14ac:dyDescent="0.35">
      <c r="A5" s="5" t="str">
        <f>Data!A8</f>
        <v>Venus</v>
      </c>
      <c r="B5" s="24">
        <f>(PI() * SQRT(((1+(Data!$D8/Data!$D$7))/2)^3))*Data!$I$7/Time_scale</f>
        <v>0.20699182895529372</v>
      </c>
      <c r="C5" s="27"/>
      <c r="D5" s="25">
        <f>1/((1/Data!E8)-(1/Data!$E$9))/Time_scale</f>
        <v>1.5997096391656214</v>
      </c>
      <c r="E5" s="25">
        <f>1/((1/Data!E8)-(1/Data!$E$10))/Time_scale</f>
        <v>0.91488956342632821</v>
      </c>
      <c r="F5" s="25">
        <f>1/((1/Data!E8)-(1/Data!$E$11))/Time_scale</f>
        <v>0.71056901131169992</v>
      </c>
      <c r="G5" s="25">
        <f>1/((1/Data!E8)-(1/Data!$E$12))/Time_scale</f>
        <v>0.64923701586902394</v>
      </c>
      <c r="H5" s="25">
        <f>1/((1/Data!E8)-(1/Data!$E$13))/Time_scale</f>
        <v>0.62863420804309633</v>
      </c>
      <c r="I5" s="25">
        <f>1/((1/Data!E8)-(1/Data!$E$14))/Time_scale</f>
        <v>0.62013110080399758</v>
      </c>
      <c r="J5" s="25">
        <f>1/((1/Data!E8)-(1/Data!$E$15))/Time_scale</f>
        <v>0.61790478288449413</v>
      </c>
      <c r="K5" s="25">
        <f>1/((1/Data!E8)-(1/Data!$E$16))/Time_scale</f>
        <v>0.61714164962528539</v>
      </c>
      <c r="L5" s="25" t="e">
        <f>1/((1/Data!E8)-(1/Data!$E$17))/Time_scale</f>
        <v>#DIV/0!</v>
      </c>
      <c r="M5" s="25" t="e">
        <f>1/((1/Data!E8)-(1/Data!$E$18))/Time_scale</f>
        <v>#DIV/0!</v>
      </c>
      <c r="N5" s="25" t="e">
        <f>1/((1/Data!E8)-(1/Data!$E$19))/Time_scale</f>
        <v>#DIV/0!</v>
      </c>
      <c r="O5" s="25" t="e">
        <f>1/((1/Data!E8)-(1/Data!$E$20))/Time_scale</f>
        <v>#DIV/0!</v>
      </c>
      <c r="P5" s="25" t="e">
        <f>1/((1/Data!E8)-(1/Data!$E$21))/Time_scale</f>
        <v>#DIV/0!</v>
      </c>
      <c r="Q5" s="25" t="e">
        <f>1/((1/Data!E8)-(1/Data!$E$22))/Time_scale</f>
        <v>#DIV/0!</v>
      </c>
      <c r="R5" s="25" t="e">
        <f>1/((1/Data!E8)-(1/Data!$E$23))/Time_scale</f>
        <v>#DIV/0!</v>
      </c>
      <c r="S5" s="25" t="e">
        <f>1/((1/Data!E8)-(1/Data!$E$24))/Time_scale</f>
        <v>#DIV/0!</v>
      </c>
      <c r="T5" s="25" t="e">
        <f>1/((1/Data!E8)-(1/Data!$E$25))/Time_scale</f>
        <v>#DIV/0!</v>
      </c>
      <c r="U5" s="25" t="e">
        <f>1/((1/Data!E8)-(1/Data!$E$26))/Time_scale</f>
        <v>#DIV/0!</v>
      </c>
      <c r="V5" s="25" t="e">
        <f>1/((1/Data!E8)-(1/Data!$E$27))/Time_scale</f>
        <v>#DIV/0!</v>
      </c>
      <c r="W5" s="25" t="e">
        <f>1/((1/Data!E8)-(1/Data!$E$28))/Time_scale</f>
        <v>#DIV/0!</v>
      </c>
      <c r="X5" s="25" t="e">
        <f>1/((1/Data!E8)-(1/Data!$E$29))/Time_scale</f>
        <v>#DIV/0!</v>
      </c>
      <c r="Y5" s="25" t="e">
        <f>1/((1/Data!E8)-(1/Data!$E$30))/Time_scale</f>
        <v>#DIV/0!</v>
      </c>
      <c r="Z5" s="25" t="e">
        <f>1/((1/Data!E8)-(1/Data!$E$31))/Time_scale</f>
        <v>#DIV/0!</v>
      </c>
      <c r="AA5" s="25" t="e">
        <f>1/((1/Data!E8)-(1/Data!$E$32))/Time_scale</f>
        <v>#DIV/0!</v>
      </c>
      <c r="AB5" s="25" t="e">
        <f>1/((1/Data!E8)-(1/Data!$E$33))/Time_scale</f>
        <v>#DIV/0!</v>
      </c>
      <c r="AC5" s="25" t="e">
        <f>1/((1/Data!E8)-(1/Data!$E$34))/Time_scale</f>
        <v>#DIV/0!</v>
      </c>
      <c r="AD5" s="25" t="e">
        <f>1/((1/Data!E8)-(1/Data!$E$35))/Time_scale</f>
        <v>#DIV/0!</v>
      </c>
      <c r="AE5" s="25" t="e">
        <f>1/((1/Data!E8)-(1/Data!$E$36))/Time_scale</f>
        <v>#DIV/0!</v>
      </c>
      <c r="AF5" s="17" t="str">
        <f>Data!A8</f>
        <v>Venus</v>
      </c>
    </row>
    <row r="6" spans="1:32" x14ac:dyDescent="0.35">
      <c r="A6" s="20" t="str">
        <f>Data!A9</f>
        <v>Earth</v>
      </c>
      <c r="B6" s="26">
        <f>(PI() * SQRT(((1+(Data!$D9/Data!$D$7))/2)^3))*Data!$I$7/Time_scale</f>
        <v>0.28898737083289266</v>
      </c>
      <c r="C6" s="26">
        <f>(PI() * SQRT(((1+(Data!$D9/Data!$D$8))/2)^3))*Data!$I$8/Time_scale</f>
        <v>0.40019343189758522</v>
      </c>
      <c r="D6" s="27"/>
      <c r="E6" s="23">
        <f>1/((1/Data!E9)-(1/Data!$E$10))/Time_scale</f>
        <v>2.1371418643139952</v>
      </c>
      <c r="F6" s="23">
        <f>1/((1/Data!E9)-(1/Data!$E$11))/Time_scale</f>
        <v>1.2784300492840186</v>
      </c>
      <c r="G6" s="23">
        <f>1/((1/Data!E9)-(1/Data!$E$12))/Time_scale</f>
        <v>1.0927097603154281</v>
      </c>
      <c r="H6" s="23">
        <f>1/((1/Data!E9)-(1/Data!$E$13))/Time_scale</f>
        <v>1.0355860831051162</v>
      </c>
      <c r="I6" s="23">
        <f>1/((1/Data!E9)-(1/Data!$E$14))/Time_scale</f>
        <v>1.0127107328849239</v>
      </c>
      <c r="J6" s="23">
        <f>1/((1/Data!E9)-(1/Data!$E$15))/Time_scale</f>
        <v>1.0067868690433841</v>
      </c>
      <c r="K6" s="23">
        <f>1/((1/Data!E9)-(1/Data!$E$16))/Time_scale</f>
        <v>1.0047624756206386</v>
      </c>
      <c r="L6" s="23" t="e">
        <f>1/((1/Data!E9)-(1/Data!$E$17))/Time_scale</f>
        <v>#DIV/0!</v>
      </c>
      <c r="M6" s="23" t="e">
        <f>1/((1/Data!E9)-(1/Data!$E$18))/Time_scale</f>
        <v>#DIV/0!</v>
      </c>
      <c r="N6" s="23" t="e">
        <f>1/((1/Data!E9)-(1/Data!$E$19))/Time_scale</f>
        <v>#DIV/0!</v>
      </c>
      <c r="O6" s="23" t="e">
        <f>1/((1/Data!E9)-(1/Data!$E$20))/Time_scale</f>
        <v>#DIV/0!</v>
      </c>
      <c r="P6" s="23" t="e">
        <f>1/((1/Data!E9)-(1/Data!$E$21))/Time_scale</f>
        <v>#DIV/0!</v>
      </c>
      <c r="Q6" s="23" t="e">
        <f>1/((1/Data!E9)-(1/Data!$E$22))/Time_scale</f>
        <v>#DIV/0!</v>
      </c>
      <c r="R6" s="23" t="e">
        <f>1/((1/Data!E9)-(1/Data!$E$23))/Time_scale</f>
        <v>#DIV/0!</v>
      </c>
      <c r="S6" s="23" t="e">
        <f>1/((1/Data!E9)-(1/Data!$E$24))/Time_scale</f>
        <v>#DIV/0!</v>
      </c>
      <c r="T6" s="23" t="e">
        <f>1/((1/Data!E9)-(1/Data!$E$25))/Time_scale</f>
        <v>#DIV/0!</v>
      </c>
      <c r="U6" s="23" t="e">
        <f>1/((1/Data!E9)-(1/Data!$E$26))/Time_scale</f>
        <v>#DIV/0!</v>
      </c>
      <c r="V6" s="23" t="e">
        <f>1/((1/Data!E9)-(1/Data!$E$27))/Time_scale</f>
        <v>#DIV/0!</v>
      </c>
      <c r="W6" s="23" t="e">
        <f>1/((1/Data!E9)-(1/Data!$E$28))/Time_scale</f>
        <v>#DIV/0!</v>
      </c>
      <c r="X6" s="23" t="e">
        <f>1/((1/Data!E9)-(1/Data!$E$29))/Time_scale</f>
        <v>#DIV/0!</v>
      </c>
      <c r="Y6" s="23" t="e">
        <f>1/((1/Data!E9)-(1/Data!$E$30))/Time_scale</f>
        <v>#DIV/0!</v>
      </c>
      <c r="Z6" s="23" t="e">
        <f>1/((1/Data!E9)-(1/Data!$E$31))/Time_scale</f>
        <v>#DIV/0!</v>
      </c>
      <c r="AA6" s="23" t="e">
        <f>1/((1/Data!E9)-(1/Data!$E$32))/Time_scale</f>
        <v>#DIV/0!</v>
      </c>
      <c r="AB6" s="23" t="e">
        <f>1/((1/Data!E9)-(1/Data!$E$33))/Time_scale</f>
        <v>#DIV/0!</v>
      </c>
      <c r="AC6" s="23" t="e">
        <f>1/((1/Data!E9)-(1/Data!$E$34))/Time_scale</f>
        <v>#DIV/0!</v>
      </c>
      <c r="AD6" s="23" t="e">
        <f>1/((1/Data!E9)-(1/Data!$E$35))/Time_scale</f>
        <v>#DIV/0!</v>
      </c>
      <c r="AE6" s="23" t="e">
        <f>1/((1/Data!E9)-(1/Data!$E$36))/Time_scale</f>
        <v>#DIV/0!</v>
      </c>
      <c r="AF6" s="19" t="str">
        <f>Data!A9</f>
        <v>Earth</v>
      </c>
    </row>
    <row r="7" spans="1:32" x14ac:dyDescent="0.35">
      <c r="A7" s="5" t="str">
        <f>Data!A10</f>
        <v>Mars</v>
      </c>
      <c r="B7" s="24">
        <f>(PI() * SQRT(((1+(Data!$D10/Data!$D$7))/2)^3))*Data!$I$7/Time_scale</f>
        <v>0.46717762255626472</v>
      </c>
      <c r="C7" s="24">
        <f>(PI() * SQRT(((1+(Data!$D10/Data!$D$8))/2)^3))*Data!$I$8/Time_scale</f>
        <v>0.59577356807570792</v>
      </c>
      <c r="D7" s="24">
        <f>(PI() * SQRT(((1+(Data!$D10/Data!$D$9))/2)^3))*Data!$I$9/Time_scale</f>
        <v>0.70913719434384737</v>
      </c>
      <c r="E7" s="27"/>
      <c r="F7" s="25">
        <f>1/((1/Data!E10)-(1/Data!$E$11))/Time_scale</f>
        <v>3.1817267808601213</v>
      </c>
      <c r="G7" s="25">
        <f>1/((1/Data!E10)-(1/Data!$E$12))/Time_scale</f>
        <v>2.235928755324641</v>
      </c>
      <c r="H7" s="25">
        <f>1/((1/Data!E10)-(1/Data!$E$13))/Time_scale</f>
        <v>2.0091532449460461</v>
      </c>
      <c r="I7" s="25">
        <f>1/((1/Data!E10)-(1/Data!$E$14))/Time_scale</f>
        <v>1.9248013001363637</v>
      </c>
      <c r="J7" s="25">
        <f>1/((1/Data!E10)-(1/Data!$E$15))/Time_scale</f>
        <v>1.9035138299708365</v>
      </c>
      <c r="K7" s="25">
        <f>1/((1/Data!E10)-(1/Data!$E$16))/Time_scale</f>
        <v>1.8962902113737794</v>
      </c>
      <c r="L7" s="25" t="e">
        <f>1/((1/Data!E10)-(1/Data!$E$17))/Time_scale</f>
        <v>#DIV/0!</v>
      </c>
      <c r="M7" s="25" t="e">
        <f>1/((1/Data!E10)-(1/Data!$E$18))/Time_scale</f>
        <v>#DIV/0!</v>
      </c>
      <c r="N7" s="25" t="e">
        <f>1/((1/Data!E10)-(1/Data!$E$19))/Time_scale</f>
        <v>#DIV/0!</v>
      </c>
      <c r="O7" s="25" t="e">
        <f>1/((1/Data!E10)-(1/Data!$E$20))/Time_scale</f>
        <v>#DIV/0!</v>
      </c>
      <c r="P7" s="25" t="e">
        <f>1/((1/Data!E10)-(1/Data!$E$21))/Time_scale</f>
        <v>#DIV/0!</v>
      </c>
      <c r="Q7" s="25" t="e">
        <f>1/((1/Data!E10)-(1/Data!$E$22))/Time_scale</f>
        <v>#DIV/0!</v>
      </c>
      <c r="R7" s="25" t="e">
        <f>1/((1/Data!E10)-(1/Data!$E$23))/Time_scale</f>
        <v>#DIV/0!</v>
      </c>
      <c r="S7" s="25" t="e">
        <f>1/((1/Data!E10)-(1/Data!$E$24))/Time_scale</f>
        <v>#DIV/0!</v>
      </c>
      <c r="T7" s="25" t="e">
        <f>1/((1/Data!E10)-(1/Data!$E$25))/Time_scale</f>
        <v>#DIV/0!</v>
      </c>
      <c r="U7" s="25" t="e">
        <f>1/((1/Data!E10)-(1/Data!$E$26))/Time_scale</f>
        <v>#DIV/0!</v>
      </c>
      <c r="V7" s="25" t="e">
        <f>1/((1/Data!E10)-(1/Data!$E$27))/Time_scale</f>
        <v>#DIV/0!</v>
      </c>
      <c r="W7" s="25" t="e">
        <f>1/((1/Data!E10)-(1/Data!$E$28))/Time_scale</f>
        <v>#DIV/0!</v>
      </c>
      <c r="X7" s="25" t="e">
        <f>1/((1/Data!E10)-(1/Data!$E$29))/Time_scale</f>
        <v>#DIV/0!</v>
      </c>
      <c r="Y7" s="25" t="e">
        <f>1/((1/Data!E10)-(1/Data!$E$30))/Time_scale</f>
        <v>#DIV/0!</v>
      </c>
      <c r="Z7" s="25" t="e">
        <f>1/((1/Data!E10)-(1/Data!$E$31))/Time_scale</f>
        <v>#DIV/0!</v>
      </c>
      <c r="AA7" s="25" t="e">
        <f>1/((1/Data!E10)-(1/Data!$E$32))/Time_scale</f>
        <v>#DIV/0!</v>
      </c>
      <c r="AB7" s="25" t="e">
        <f>1/((1/Data!E10)-(1/Data!$E$33))/Time_scale</f>
        <v>#DIV/0!</v>
      </c>
      <c r="AC7" s="25" t="e">
        <f>1/((1/Data!E10)-(1/Data!$E$34))/Time_scale</f>
        <v>#DIV/0!</v>
      </c>
      <c r="AD7" s="25" t="e">
        <f>1/((1/Data!E10)-(1/Data!$E$35))/Time_scale</f>
        <v>#DIV/0!</v>
      </c>
      <c r="AE7" s="25" t="e">
        <f>1/((1/Data!E10)-(1/Data!$E$36))/Time_scale</f>
        <v>#DIV/0!</v>
      </c>
      <c r="AF7" s="17" t="str">
        <f>Data!A10</f>
        <v>Mars</v>
      </c>
    </row>
    <row r="8" spans="1:32" x14ac:dyDescent="0.35">
      <c r="A8" s="5" t="str">
        <f>Data!A11</f>
        <v>Ceres</v>
      </c>
      <c r="B8" s="26">
        <f>(PI() * SQRT(((1+(Data!$D11/Data!$D$7))/2)^3))*Data!$I$7/Time_scale</f>
        <v>0.9909019322792374</v>
      </c>
      <c r="C8" s="26">
        <f>(PI() * SQRT(((1+(Data!$D11/Data!$D$8))/2)^3))*Data!$I$8/Time_scale</f>
        <v>1.1534990312952265</v>
      </c>
      <c r="D8" s="26">
        <f>(PI() * SQRT(((1+(Data!$D11/Data!$D$9))/2)^3))*Data!$I$9/Time_scale</f>
        <v>1.2933353226402517</v>
      </c>
      <c r="E8" s="26">
        <f>(PI() * SQRT(((1+(Data!$D11/Data!$D$10))/2)^3))*Data!$I$10/Time_scale</f>
        <v>1.5721139945935341</v>
      </c>
      <c r="F8" s="28"/>
      <c r="G8" s="23">
        <f>1/((1/Data!E11)-(1/Data!$E$12))/Time_scale</f>
        <v>7.5218114320801917</v>
      </c>
      <c r="H8" s="23">
        <f>1/((1/Data!E11)-(1/Data!$E$13))/Time_scale</f>
        <v>5.4517490720217738</v>
      </c>
      <c r="I8" s="23">
        <f>1/((1/Data!E11)-(1/Data!$E$14))/Time_scale</f>
        <v>4.8723587343872135</v>
      </c>
      <c r="J8" s="23">
        <f>1/((1/Data!E11)-(1/Data!$E$15))/Time_scale</f>
        <v>4.7382252905059357</v>
      </c>
      <c r="K8" s="23">
        <f>1/((1/Data!E11)-(1/Data!$E$16))/Time_scale</f>
        <v>4.6937184556853104</v>
      </c>
      <c r="L8" s="23" t="e">
        <f>1/((1/Data!E11)-(1/Data!$E$17))/Time_scale</f>
        <v>#DIV/0!</v>
      </c>
      <c r="M8" s="23" t="e">
        <f>1/((1/Data!E11)-(1/Data!$E$18))/Time_scale</f>
        <v>#DIV/0!</v>
      </c>
      <c r="N8" s="23" t="e">
        <f>1/((1/Data!E11)-(1/Data!$E$19))/Time_scale</f>
        <v>#DIV/0!</v>
      </c>
      <c r="O8" s="23" t="e">
        <f>1/((1/Data!E11)-(1/Data!$E$20))/Time_scale</f>
        <v>#DIV/0!</v>
      </c>
      <c r="P8" s="23" t="e">
        <f>1/((1/Data!E11)-(1/Data!$E$21))/Time_scale</f>
        <v>#DIV/0!</v>
      </c>
      <c r="Q8" s="23" t="e">
        <f>1/((1/Data!E11)-(1/Data!$E$22))/Time_scale</f>
        <v>#DIV/0!</v>
      </c>
      <c r="R8" s="23" t="e">
        <f>1/((1/Data!E11)-(1/Data!$E$23))/Time_scale</f>
        <v>#DIV/0!</v>
      </c>
      <c r="S8" s="23" t="e">
        <f>1/((1/Data!E11)-(1/Data!$E$24))/Time_scale</f>
        <v>#DIV/0!</v>
      </c>
      <c r="T8" s="23" t="e">
        <f>1/((1/Data!E11)-(1/Data!$E$25))/Time_scale</f>
        <v>#DIV/0!</v>
      </c>
      <c r="U8" s="23" t="e">
        <f>1/((1/Data!E11)-(1/Data!$E$26))/Time_scale</f>
        <v>#DIV/0!</v>
      </c>
      <c r="V8" s="23" t="e">
        <f>1/((1/Data!E11)-(1/Data!$E$27))/Time_scale</f>
        <v>#DIV/0!</v>
      </c>
      <c r="W8" s="23" t="e">
        <f>1/((1/Data!E11)-(1/Data!$E$28))/Time_scale</f>
        <v>#DIV/0!</v>
      </c>
      <c r="X8" s="23" t="e">
        <f>1/((1/Data!E11)-(1/Data!$E$29))/Time_scale</f>
        <v>#DIV/0!</v>
      </c>
      <c r="Y8" s="23" t="e">
        <f>1/((1/Data!E11)-(1/Data!$E$30))/Time_scale</f>
        <v>#DIV/0!</v>
      </c>
      <c r="Z8" s="23" t="e">
        <f>1/((1/Data!E11)-(1/Data!$E$31))/Time_scale</f>
        <v>#DIV/0!</v>
      </c>
      <c r="AA8" s="23" t="e">
        <f>1/((1/Data!E11)-(1/Data!$E$32))/Time_scale</f>
        <v>#DIV/0!</v>
      </c>
      <c r="AB8" s="23" t="e">
        <f>1/((1/Data!E11)-(1/Data!$E$33))/Time_scale</f>
        <v>#DIV/0!</v>
      </c>
      <c r="AC8" s="23" t="e">
        <f>1/((1/Data!E11)-(1/Data!$E$34))/Time_scale</f>
        <v>#DIV/0!</v>
      </c>
      <c r="AD8" s="23" t="e">
        <f>1/((1/Data!E11)-(1/Data!$E$35))/Time_scale</f>
        <v>#DIV/0!</v>
      </c>
      <c r="AE8" s="23" t="e">
        <f>1/((1/Data!E11)-(1/Data!$E$36))/Time_scale</f>
        <v>#DIV/0!</v>
      </c>
      <c r="AF8" s="17" t="str">
        <f>Data!A11</f>
        <v>Ceres</v>
      </c>
    </row>
    <row r="9" spans="1:32" x14ac:dyDescent="0.35">
      <c r="A9" s="5" t="str">
        <f>Data!A12</f>
        <v>Jupiter</v>
      </c>
      <c r="B9" s="24">
        <f>(PI() * SQRT(((1+(Data!$D12/Data!$D$7))/2)^3))*Data!$I$7/Time_scale</f>
        <v>2.3388569525519096</v>
      </c>
      <c r="C9" s="24">
        <f>(PI() * SQRT(((1+(Data!$D12/Data!$D$8))/2)^3))*Data!$I$8/Time_scale</f>
        <v>2.5529608377589423</v>
      </c>
      <c r="D9" s="24">
        <f>(PI() * SQRT(((1+(Data!$D12/Data!$D$9))/2)^3))*Data!$I$9/Time_scale</f>
        <v>2.7337677071078468</v>
      </c>
      <c r="E9" s="24">
        <f>(PI() * SQRT(((1+(Data!$D12/Data!$D$10))/2)^3))*Data!$I$10/Time_scale</f>
        <v>3.0869849682309916</v>
      </c>
      <c r="F9" s="24">
        <f>(PI() * SQRT(((1+(Data!$D12/Data!$D$11))/2)^3))*Data!$I$11/Time_scale</f>
        <v>3.9812102243320582</v>
      </c>
      <c r="G9" s="27"/>
      <c r="H9" s="25">
        <f>1/((1/Data!E12)-(1/Data!$E$13))/Time_scale</f>
        <v>19.809561917549534</v>
      </c>
      <c r="I9" s="25">
        <f>1/((1/Data!E12)-(1/Data!$E$14))/Time_scale</f>
        <v>13.83265444271632</v>
      </c>
      <c r="J9" s="25">
        <f>1/((1/Data!E12)-(1/Data!$E$15))/Time_scale</f>
        <v>12.803640823467683</v>
      </c>
      <c r="K9" s="25">
        <f>1/((1/Data!E12)-(1/Data!$E$16))/Time_scale</f>
        <v>12.483771019418541</v>
      </c>
      <c r="L9" s="25" t="e">
        <f>1/((1/Data!E12)-(1/Data!$E$17))/Time_scale</f>
        <v>#DIV/0!</v>
      </c>
      <c r="M9" s="25" t="e">
        <f>1/((1/Data!E12)-(1/Data!$E$18))/Time_scale</f>
        <v>#DIV/0!</v>
      </c>
      <c r="N9" s="25" t="e">
        <f>1/((1/Data!E12)-(1/Data!$E$19))/Time_scale</f>
        <v>#DIV/0!</v>
      </c>
      <c r="O9" s="25" t="e">
        <f>1/((1/Data!E12)-(1/Data!$E$20))/Time_scale</f>
        <v>#DIV/0!</v>
      </c>
      <c r="P9" s="25" t="e">
        <f>1/((1/Data!E12)-(1/Data!$E$21))/Time_scale</f>
        <v>#DIV/0!</v>
      </c>
      <c r="Q9" s="25" t="e">
        <f>1/((1/Data!E12)-(1/Data!$E$22))/Time_scale</f>
        <v>#DIV/0!</v>
      </c>
      <c r="R9" s="25" t="e">
        <f>1/((1/Data!E12)-(1/Data!$E$23))/Time_scale</f>
        <v>#DIV/0!</v>
      </c>
      <c r="S9" s="25" t="e">
        <f>1/((1/Data!E12)-(1/Data!$E$24))/Time_scale</f>
        <v>#DIV/0!</v>
      </c>
      <c r="T9" s="25" t="e">
        <f>1/((1/Data!E12)-(1/Data!$E$25))/Time_scale</f>
        <v>#DIV/0!</v>
      </c>
      <c r="U9" s="25" t="e">
        <f>1/((1/Data!E12)-(1/Data!$E$26))/Time_scale</f>
        <v>#DIV/0!</v>
      </c>
      <c r="V9" s="25" t="e">
        <f>1/((1/Data!E12)-(1/Data!$E$27))/Time_scale</f>
        <v>#DIV/0!</v>
      </c>
      <c r="W9" s="25" t="e">
        <f>1/((1/Data!E12)-(1/Data!$E$28))/Time_scale</f>
        <v>#DIV/0!</v>
      </c>
      <c r="X9" s="25" t="e">
        <f>1/((1/Data!E12)-(1/Data!$E$29))/Time_scale</f>
        <v>#DIV/0!</v>
      </c>
      <c r="Y9" s="25" t="e">
        <f>1/((1/Data!E12)-(1/Data!$E$30))/Time_scale</f>
        <v>#DIV/0!</v>
      </c>
      <c r="Z9" s="25" t="e">
        <f>1/((1/Data!E12)-(1/Data!$E$31))/Time_scale</f>
        <v>#DIV/0!</v>
      </c>
      <c r="AA9" s="25" t="e">
        <f>1/((1/Data!E12)-(1/Data!$E$32))/Time_scale</f>
        <v>#DIV/0!</v>
      </c>
      <c r="AB9" s="25" t="e">
        <f>1/((1/Data!E12)-(1/Data!$E$33))/Time_scale</f>
        <v>#DIV/0!</v>
      </c>
      <c r="AC9" s="25" t="e">
        <f>1/((1/Data!E12)-(1/Data!$E$34))/Time_scale</f>
        <v>#DIV/0!</v>
      </c>
      <c r="AD9" s="25" t="e">
        <f>1/((1/Data!E12)-(1/Data!$E$35))/Time_scale</f>
        <v>#DIV/0!</v>
      </c>
      <c r="AE9" s="25" t="e">
        <f>1/((1/Data!E12)-(1/Data!$E$36))/Time_scale</f>
        <v>#DIV/0!</v>
      </c>
      <c r="AF9" s="17" t="str">
        <f>Data!A12</f>
        <v>Jupiter</v>
      </c>
    </row>
    <row r="10" spans="1:32" x14ac:dyDescent="0.35">
      <c r="A10" s="5" t="str">
        <f>Data!A13</f>
        <v>Saturn</v>
      </c>
      <c r="B10" s="26">
        <f>(PI() * SQRT(((1+(Data!$D13/Data!$D$7))/2)^3))*Data!$I$7/Time_scale</f>
        <v>5.568381707629503</v>
      </c>
      <c r="C10" s="26">
        <f>(PI() * SQRT(((1+(Data!$D13/Data!$D$8))/2)^3))*Data!$I$8/Time_scale</f>
        <v>5.8524407899920714</v>
      </c>
      <c r="D10" s="26">
        <f>(PI() * SQRT(((1+(Data!$D13/Data!$D$9))/2)^3))*Data!$I$9/Time_scale</f>
        <v>6.0896900182686382</v>
      </c>
      <c r="E10" s="26">
        <f>(PI() * SQRT(((1+(Data!$D13/Data!$D$10))/2)^3))*Data!$I$10/Time_scale</f>
        <v>6.5471340402923088</v>
      </c>
      <c r="F10" s="26">
        <f>(PI() * SQRT(((1+(Data!$D13/Data!$D$11))/2)^3))*Data!$I$11/Time_scale</f>
        <v>7.67692926299204</v>
      </c>
      <c r="G10" s="26">
        <f>(PI() * SQRT(((1+(Data!$D13/Data!$D$12))/2)^3))*Data!$I$12/Time_scale</f>
        <v>10.058366402817489</v>
      </c>
      <c r="H10" s="27"/>
      <c r="I10" s="23">
        <f>1/((1/Data!E13)-(1/Data!$E$14))/Time_scale</f>
        <v>45.846255077706729</v>
      </c>
      <c r="J10" s="23">
        <f>1/((1/Data!E13)-(1/Data!$E$15))/Time_scale</f>
        <v>36.202879286893776</v>
      </c>
      <c r="K10" s="23">
        <f>1/((1/Data!E13)-(1/Data!$E$16))/Time_scale</f>
        <v>33.757179042166563</v>
      </c>
      <c r="L10" s="23" t="e">
        <f>1/((1/Data!E13)-(1/Data!$E$17))/Time_scale</f>
        <v>#DIV/0!</v>
      </c>
      <c r="M10" s="23" t="e">
        <f>1/((1/Data!E13)-(1/Data!$E$18))/Time_scale</f>
        <v>#DIV/0!</v>
      </c>
      <c r="N10" s="23" t="e">
        <f>1/((1/Data!E13)-(1/Data!$E$19))/Time_scale</f>
        <v>#DIV/0!</v>
      </c>
      <c r="O10" s="23" t="e">
        <f>1/((1/Data!E13)-(1/Data!$E$20))/Time_scale</f>
        <v>#DIV/0!</v>
      </c>
      <c r="P10" s="23" t="e">
        <f>1/((1/Data!E13)-(1/Data!$E$21))/Time_scale</f>
        <v>#DIV/0!</v>
      </c>
      <c r="Q10" s="23" t="e">
        <f>1/((1/Data!E13)-(1/Data!$E$22))/Time_scale</f>
        <v>#DIV/0!</v>
      </c>
      <c r="R10" s="23" t="e">
        <f>1/((1/Data!E13)-(1/Data!$E$23))/Time_scale</f>
        <v>#DIV/0!</v>
      </c>
      <c r="S10" s="23" t="e">
        <f>1/((1/Data!E13)-(1/Data!$E$24))/Time_scale</f>
        <v>#DIV/0!</v>
      </c>
      <c r="T10" s="23" t="e">
        <f>1/((1/Data!E13)-(1/Data!$E$25))/Time_scale</f>
        <v>#DIV/0!</v>
      </c>
      <c r="U10" s="23" t="e">
        <f>1/((1/Data!E13)-(1/Data!$E$26))/Time_scale</f>
        <v>#DIV/0!</v>
      </c>
      <c r="V10" s="23" t="e">
        <f>1/((1/Data!E13)-(1/Data!$E$27))/Time_scale</f>
        <v>#DIV/0!</v>
      </c>
      <c r="W10" s="23" t="e">
        <f>1/((1/Data!E13)-(1/Data!$E$28))/Time_scale</f>
        <v>#DIV/0!</v>
      </c>
      <c r="X10" s="23" t="e">
        <f>1/((1/Data!E13)-(1/Data!$E$29))/Time_scale</f>
        <v>#DIV/0!</v>
      </c>
      <c r="Y10" s="23" t="e">
        <f>1/((1/Data!E13)-(1/Data!$E$30))/Time_scale</f>
        <v>#DIV/0!</v>
      </c>
      <c r="Z10" s="23" t="e">
        <f>1/((1/Data!E13)-(1/Data!$E$31))/Time_scale</f>
        <v>#DIV/0!</v>
      </c>
      <c r="AA10" s="23" t="e">
        <f>1/((1/Data!E13)-(1/Data!$E$32))/Time_scale</f>
        <v>#DIV/0!</v>
      </c>
      <c r="AB10" s="23" t="e">
        <f>1/((1/Data!E13)-(1/Data!$E$33))/Time_scale</f>
        <v>#DIV/0!</v>
      </c>
      <c r="AC10" s="23" t="e">
        <f>1/((1/Data!E13)-(1/Data!$E$34))/Time_scale</f>
        <v>#DIV/0!</v>
      </c>
      <c r="AD10" s="23" t="e">
        <f>1/((1/Data!E13)-(1/Data!$E$35))/Time_scale</f>
        <v>#DIV/0!</v>
      </c>
      <c r="AE10" s="23" t="e">
        <f>1/((1/Data!E13)-(1/Data!$E$36))/Time_scale</f>
        <v>#DIV/0!</v>
      </c>
      <c r="AF10" s="17" t="str">
        <f>Data!A13</f>
        <v>Saturn</v>
      </c>
    </row>
    <row r="11" spans="1:32" x14ac:dyDescent="0.35">
      <c r="A11" s="5" t="str">
        <f>Data!A14</f>
        <v>Uranus</v>
      </c>
      <c r="B11" s="24">
        <f>(PI() * SQRT(((1+(Data!$D14/Data!$D$7))/2)^3))*Data!$I$7/Time_scale</f>
        <v>15.335714244274769</v>
      </c>
      <c r="C11" s="24">
        <f>(PI() * SQRT(((1+(Data!$D14/Data!$D$8))/2)^3))*Data!$I$8/Time_scale</f>
        <v>15.732261732466954</v>
      </c>
      <c r="D11" s="24">
        <f>(PI() * SQRT(((1+(Data!$D14/Data!$D$9))/2)^3))*Data!$I$9/Time_scale</f>
        <v>16.061087278740018</v>
      </c>
      <c r="E11" s="24">
        <f>(PI() * SQRT(((1+(Data!$D14/Data!$D$10))/2)^3))*Data!$I$10/Time_scale</f>
        <v>16.689476266832031</v>
      </c>
      <c r="F11" s="24">
        <f>(PI() * SQRT(((1+(Data!$D14/Data!$D$11))/2)^3))*Data!$I$11/Time_scale</f>
        <v>18.213842863657579</v>
      </c>
      <c r="G11" s="24">
        <f>(PI() * SQRT(((1+(Data!$D14/Data!$D$12))/2)^3))*Data!$I$12/Time_scale</f>
        <v>21.327670401791963</v>
      </c>
      <c r="H11" s="24">
        <f>(PI() * SQRT(((1+(Data!$D14/Data!$D$13))/2)^3))*Data!$I$13/Time_scale</f>
        <v>27.316801298929722</v>
      </c>
      <c r="I11" s="27"/>
      <c r="J11" s="25">
        <f>1/((1/Data!E14)-(1/Data!$E$15))/Time_scale</f>
        <v>172.1146696279929</v>
      </c>
      <c r="K11" s="25">
        <f>1/((1/Data!E14)-(1/Data!$E$16))/Time_scale</f>
        <v>128.01972925979948</v>
      </c>
      <c r="L11" s="25" t="e">
        <f>1/((1/Data!E14)-(1/Data!$E$17))/Time_scale</f>
        <v>#DIV/0!</v>
      </c>
      <c r="M11" s="25" t="e">
        <f>1/((1/Data!E14)-(1/Data!$E$18))/Time_scale</f>
        <v>#DIV/0!</v>
      </c>
      <c r="N11" s="25" t="e">
        <f>1/((1/Data!E14)-(1/Data!$E$19))/Time_scale</f>
        <v>#DIV/0!</v>
      </c>
      <c r="O11" s="25" t="e">
        <f>1/((1/Data!E14)-(1/Data!$E$20))/Time_scale</f>
        <v>#DIV/0!</v>
      </c>
      <c r="P11" s="25" t="e">
        <f>1/((1/Data!E14)-(1/Data!$E$21))/Time_scale</f>
        <v>#DIV/0!</v>
      </c>
      <c r="Q11" s="25" t="e">
        <f>1/((1/Data!E14)-(1/Data!$E$22))/Time_scale</f>
        <v>#DIV/0!</v>
      </c>
      <c r="R11" s="25" t="e">
        <f>1/((1/Data!E14)-(1/Data!$E$23))/Time_scale</f>
        <v>#DIV/0!</v>
      </c>
      <c r="S11" s="25" t="e">
        <f>1/((1/Data!E14)-(1/Data!$E$24))/Time_scale</f>
        <v>#DIV/0!</v>
      </c>
      <c r="T11" s="25" t="e">
        <f>1/((1/Data!E14)-(1/Data!$E$25))/Time_scale</f>
        <v>#DIV/0!</v>
      </c>
      <c r="U11" s="25" t="e">
        <f>1/((1/Data!E14)-(1/Data!$E$26))/Time_scale</f>
        <v>#DIV/0!</v>
      </c>
      <c r="V11" s="25" t="e">
        <f>1/((1/Data!E14)-(1/Data!$E$27))/Time_scale</f>
        <v>#DIV/0!</v>
      </c>
      <c r="W11" s="25" t="e">
        <f>1/((1/Data!E14)-(1/Data!$E$28))/Time_scale</f>
        <v>#DIV/0!</v>
      </c>
      <c r="X11" s="25" t="e">
        <f>1/((1/Data!E14)-(1/Data!$E$29))/Time_scale</f>
        <v>#DIV/0!</v>
      </c>
      <c r="Y11" s="25" t="e">
        <f>1/((1/Data!E14)-(1/Data!$E$30))/Time_scale</f>
        <v>#DIV/0!</v>
      </c>
      <c r="Z11" s="25" t="e">
        <f>1/((1/Data!E14)-(1/Data!$E$31))/Time_scale</f>
        <v>#DIV/0!</v>
      </c>
      <c r="AA11" s="25" t="e">
        <f>1/((1/Data!E14)-(1/Data!$E$32))/Time_scale</f>
        <v>#DIV/0!</v>
      </c>
      <c r="AB11" s="25" t="e">
        <f>1/((1/Data!E14)-(1/Data!$E$33))/Time_scale</f>
        <v>#DIV/0!</v>
      </c>
      <c r="AC11" s="25" t="e">
        <f>1/((1/Data!E14)-(1/Data!$E$34))/Time_scale</f>
        <v>#DIV/0!</v>
      </c>
      <c r="AD11" s="25" t="e">
        <f>1/((1/Data!E14)-(1/Data!$E$35))/Time_scale</f>
        <v>#DIV/0!</v>
      </c>
      <c r="AE11" s="25" t="e">
        <f>1/((1/Data!E14)-(1/Data!$E$36))/Time_scale</f>
        <v>#DIV/0!</v>
      </c>
      <c r="AF11" s="17" t="str">
        <f>Data!A14</f>
        <v>Uranus</v>
      </c>
    </row>
    <row r="12" spans="1:32" x14ac:dyDescent="0.35">
      <c r="A12" s="5" t="str">
        <f>Data!A15</f>
        <v>Neptune</v>
      </c>
      <c r="B12" s="26">
        <f>(PI() * SQRT(((1+(Data!$D15/Data!$D$7))/2)^3))*Data!$I$7/Time_scale</f>
        <v>29.700413880762014</v>
      </c>
      <c r="C12" s="26">
        <f>(PI() * SQRT(((1+(Data!$D15/Data!$D$8))/2)^3))*Data!$I$8/Time_scale</f>
        <v>30.193954159814986</v>
      </c>
      <c r="D12" s="26">
        <f>(PI() * SQRT(((1+(Data!$D15/Data!$D$9))/2)^3))*Data!$I$9/Time_scale</f>
        <v>30.602098623951143</v>
      </c>
      <c r="E12" s="26">
        <f>(PI() * SQRT(((1+(Data!$D15/Data!$D$10))/2)^3))*Data!$I$10/Time_scale</f>
        <v>31.379388640248866</v>
      </c>
      <c r="F12" s="26">
        <f>(PI() * SQRT(((1+(Data!$D15/Data!$D$11))/2)^3))*Data!$I$11/Time_scale</f>
        <v>33.251427236844727</v>
      </c>
      <c r="G12" s="26">
        <f>(PI() * SQRT(((1+(Data!$D15/Data!$D$12))/2)^3))*Data!$I$12/Time_scale</f>
        <v>37.024124925179912</v>
      </c>
      <c r="H12" s="26">
        <f>(PI() * SQRT(((1+(Data!$D15/Data!$D$13))/2)^3))*Data!$I$13/Time_scale</f>
        <v>44.131373477860798</v>
      </c>
      <c r="I12" s="26">
        <f>(PI() * SQRT(((1+(Data!$D15/Data!$D$14))/2)^3))*Data!$I$14/Time_scale</f>
        <v>61.136743715382615</v>
      </c>
      <c r="J12" s="27"/>
      <c r="K12" s="23">
        <f>1/((1/Data!E15)-(1/Data!$E$16))/Time_scale</f>
        <v>499.6961833586945</v>
      </c>
      <c r="L12" s="23" t="e">
        <f>1/((1/Data!E15)-(1/Data!$E$17))/Time_scale</f>
        <v>#DIV/0!</v>
      </c>
      <c r="M12" s="23" t="e">
        <f>1/((1/Data!E15)-(1/Data!$E$18))/Time_scale</f>
        <v>#DIV/0!</v>
      </c>
      <c r="N12" s="23" t="e">
        <f>1/((1/Data!E15)-(1/Data!$E$19))/Time_scale</f>
        <v>#DIV/0!</v>
      </c>
      <c r="O12" s="23" t="e">
        <f>1/((1/Data!E15)-(1/Data!$E$20))/Time_scale</f>
        <v>#DIV/0!</v>
      </c>
      <c r="P12" s="23" t="e">
        <f>1/((1/Data!E15)-(1/Data!$E$21))/Time_scale</f>
        <v>#DIV/0!</v>
      </c>
      <c r="Q12" s="23" t="e">
        <f>1/((1/Data!E15)-(1/Data!$E$22))/Time_scale</f>
        <v>#DIV/0!</v>
      </c>
      <c r="R12" s="23" t="e">
        <f>1/((1/Data!E15)-(1/Data!$E$23))/Time_scale</f>
        <v>#DIV/0!</v>
      </c>
      <c r="S12" s="23" t="e">
        <f>1/((1/Data!E15)-(1/Data!$E$24))/Time_scale</f>
        <v>#DIV/0!</v>
      </c>
      <c r="T12" s="23" t="e">
        <f>1/((1/Data!E15)-(1/Data!$E$25))/Time_scale</f>
        <v>#DIV/0!</v>
      </c>
      <c r="U12" s="23" t="e">
        <f>1/((1/Data!E15)-(1/Data!$E$26))/Time_scale</f>
        <v>#DIV/0!</v>
      </c>
      <c r="V12" s="23" t="e">
        <f>1/((1/Data!E15)-(1/Data!$E$27))/Time_scale</f>
        <v>#DIV/0!</v>
      </c>
      <c r="W12" s="23" t="e">
        <f>1/((1/Data!E15)-(1/Data!$E$28))/Time_scale</f>
        <v>#DIV/0!</v>
      </c>
      <c r="X12" s="23" t="e">
        <f>1/((1/Data!E15)-(1/Data!$E$29))/Time_scale</f>
        <v>#DIV/0!</v>
      </c>
      <c r="Y12" s="23" t="e">
        <f>1/((1/Data!E15)-(1/Data!$E$30))/Time_scale</f>
        <v>#DIV/0!</v>
      </c>
      <c r="Z12" s="23" t="e">
        <f>1/((1/Data!E15)-(1/Data!$E$31))/Time_scale</f>
        <v>#DIV/0!</v>
      </c>
      <c r="AA12" s="23" t="e">
        <f>1/((1/Data!E15)-(1/Data!$E$32))/Time_scale</f>
        <v>#DIV/0!</v>
      </c>
      <c r="AB12" s="23" t="e">
        <f>1/((1/Data!E15)-(1/Data!$E$33))/Time_scale</f>
        <v>#DIV/0!</v>
      </c>
      <c r="AC12" s="23" t="e">
        <f>1/((1/Data!E15)-(1/Data!$E$34))/Time_scale</f>
        <v>#DIV/0!</v>
      </c>
      <c r="AD12" s="23" t="e">
        <f>1/((1/Data!E15)-(1/Data!$E$35))/Time_scale</f>
        <v>#DIV/0!</v>
      </c>
      <c r="AE12" s="23" t="e">
        <f>1/((1/Data!E15)-(1/Data!$E$36))/Time_scale</f>
        <v>#DIV/0!</v>
      </c>
      <c r="AF12" s="17" t="str">
        <f>Data!A15</f>
        <v>Neptune</v>
      </c>
    </row>
    <row r="13" spans="1:32" x14ac:dyDescent="0.35">
      <c r="A13" s="5" t="str">
        <f>Data!A16</f>
        <v>Pluto</v>
      </c>
      <c r="B13" s="24">
        <f>(PI() * SQRT(((1+(Data!$D16/Data!$D$7))/2)^3))*Data!$I$7/Time_scale</f>
        <v>44.119984918839108</v>
      </c>
      <c r="C13" s="24">
        <f>(PI() * SQRT(((1+(Data!$D16/Data!$D$8))/2)^3))*Data!$I$8/Time_scale</f>
        <v>44.682762731097576</v>
      </c>
      <c r="D13" s="24">
        <f>(PI() * SQRT(((1+(Data!$D16/Data!$D$9))/2)^3))*Data!$I$9/Time_scale</f>
        <v>45.147631610060408</v>
      </c>
      <c r="E13" s="24">
        <f>(PI() * SQRT(((1+(Data!$D16/Data!$D$10))/2)^3))*Data!$I$10/Time_scale</f>
        <v>46.031653845632739</v>
      </c>
      <c r="F13" s="24">
        <f>(PI() * SQRT(((1+(Data!$D16/Data!$D$11))/2)^3))*Data!$I$11/Time_scale</f>
        <v>48.154119543634565</v>
      </c>
      <c r="G13" s="24">
        <f>(PI() * SQRT(((1+(Data!$D16/Data!$D$12))/2)^3))*Data!$I$12/Time_scale</f>
        <v>52.405802028205734</v>
      </c>
      <c r="H13" s="24">
        <f>(PI() * SQRT(((1+(Data!$D16/Data!$D$13))/2)^3))*Data!$I$13/Time_scale</f>
        <v>60.337764743941214</v>
      </c>
      <c r="I13" s="24">
        <f>(PI() * SQRT(((1+(Data!$D16/Data!$D$14))/2)^3))*Data!$I$14/Time_scale</f>
        <v>79.021535371828804</v>
      </c>
      <c r="J13" s="24">
        <f>(PI() * SQRT(((1+(Data!$D16/Data!$D$15))/2)^3))*Data!$I$15/Time_scale</f>
        <v>102.01327251221102</v>
      </c>
      <c r="K13" s="27"/>
      <c r="L13" s="25" t="e">
        <f>1/((1/Data!E16)-(1/Data!$E$17))/Time_scale</f>
        <v>#DIV/0!</v>
      </c>
      <c r="M13" s="25" t="e">
        <f>1/((1/Data!E16)-(1/Data!$E$18))/Time_scale</f>
        <v>#DIV/0!</v>
      </c>
      <c r="N13" s="25" t="e">
        <f>1/((1/Data!E16)-(1/Data!$E$19))/Time_scale</f>
        <v>#DIV/0!</v>
      </c>
      <c r="O13" s="25" t="e">
        <f>1/((1/Data!E16)-(1/Data!$E$20))/Time_scale</f>
        <v>#DIV/0!</v>
      </c>
      <c r="P13" s="25" t="e">
        <f>1/((1/Data!E16)-(1/Data!$E$21))/Time_scale</f>
        <v>#DIV/0!</v>
      </c>
      <c r="Q13" s="25" t="e">
        <f>1/((1/Data!E16)-(1/Data!$E$22))/Time_scale</f>
        <v>#DIV/0!</v>
      </c>
      <c r="R13" s="25" t="e">
        <f>1/((1/Data!E16)-(1/Data!$E$23))/Time_scale</f>
        <v>#DIV/0!</v>
      </c>
      <c r="S13" s="25" t="e">
        <f>1/((1/Data!E16)-(1/Data!$E$24))/Time_scale</f>
        <v>#DIV/0!</v>
      </c>
      <c r="T13" s="25" t="e">
        <f>1/((1/Data!E16)-(1/Data!$E$25))/Time_scale</f>
        <v>#DIV/0!</v>
      </c>
      <c r="U13" s="25" t="e">
        <f>1/((1/Data!E16)-(1/Data!$E$26))/Time_scale</f>
        <v>#DIV/0!</v>
      </c>
      <c r="V13" s="25" t="e">
        <f>1/((1/Data!E16)-(1/Data!$E$27))/Time_scale</f>
        <v>#DIV/0!</v>
      </c>
      <c r="W13" s="25" t="e">
        <f>1/((1/Data!E16)-(1/Data!$E$28))/Time_scale</f>
        <v>#DIV/0!</v>
      </c>
      <c r="X13" s="25" t="e">
        <f>1/((1/Data!E16)-(1/Data!$E$29))/Time_scale</f>
        <v>#DIV/0!</v>
      </c>
      <c r="Y13" s="25" t="e">
        <f>1/((1/Data!E16)-(1/Data!$E$30))/Time_scale</f>
        <v>#DIV/0!</v>
      </c>
      <c r="Z13" s="25" t="e">
        <f>1/((1/Data!E16)-(1/Data!$E$31))/Time_scale</f>
        <v>#DIV/0!</v>
      </c>
      <c r="AA13" s="25" t="e">
        <f>1/((1/Data!E16)-(1/Data!$E$32))/Time_scale</f>
        <v>#DIV/0!</v>
      </c>
      <c r="AB13" s="25" t="e">
        <f>1/((1/Data!E16)-(1/Data!$E$33))/Time_scale</f>
        <v>#DIV/0!</v>
      </c>
      <c r="AC13" s="25" t="e">
        <f>1/((1/Data!E16)-(1/Data!$E$34))/Time_scale</f>
        <v>#DIV/0!</v>
      </c>
      <c r="AD13" s="25" t="e">
        <f>1/((1/Data!E16)-(1/Data!$E$35))/Time_scale</f>
        <v>#DIV/0!</v>
      </c>
      <c r="AE13" s="25" t="e">
        <f>1/((1/Data!E16)-(1/Data!$E$36))/Time_scale</f>
        <v>#DIV/0!</v>
      </c>
      <c r="AF13" s="17" t="str">
        <f>Data!A16</f>
        <v>Pluto</v>
      </c>
    </row>
    <row r="14" spans="1:32" x14ac:dyDescent="0.35">
      <c r="A14" s="5" t="str">
        <f>Data!A17</f>
        <v>S11</v>
      </c>
      <c r="B14" s="26">
        <f>(PI() * SQRT(((1+(Data!$D17/Data!$D$7))/2)^3))*Data!$I$7/Time_scale</f>
        <v>4.2604028415690505E-2</v>
      </c>
      <c r="C14" s="26">
        <f>(PI() * SQRT(((1+(Data!$D17/Data!$D$8))/2)^3))*Data!$I$8/Time_scale</f>
        <v>0.10882318031250299</v>
      </c>
      <c r="D14" s="26">
        <f>(PI() * SQRT(((1+(Data!$D17/Data!$D$9))/2)^3))*Data!$I$9/Time_scale</f>
        <v>0.17689587612720087</v>
      </c>
      <c r="E14" s="26">
        <f>(PI() * SQRT(((1+(Data!$D17/Data!$D$10))/2)^3))*Data!$I$10/Time_scale</f>
        <v>0.33265493649380085</v>
      </c>
      <c r="F14" s="26">
        <f>(PI() * SQRT(((1+(Data!$D17/Data!$D$11))/2)^3))*Data!$I$11/Time_scale</f>
        <v>0.81420065473543279</v>
      </c>
      <c r="G14" s="26">
        <f>(PI() * SQRT(((1+(Data!$D17/Data!$D$12))/2)^3))*Data!$I$12/Time_scale</f>
        <v>2.1002298000153301</v>
      </c>
      <c r="H14" s="26">
        <f>(PI() * SQRT(((1+(Data!$D17/Data!$D$13))/2)^3))*Data!$I$13/Time_scale</f>
        <v>5.2472347894306317</v>
      </c>
      <c r="I14" s="26">
        <f>(PI() * SQRT(((1+(Data!$D17/Data!$D$14))/2)^3))*Data!$I$14/Time_scale</f>
        <v>14.883370835964092</v>
      </c>
      <c r="J14" s="26">
        <f>(PI() * SQRT(((1+(Data!$D17/Data!$D$15))/2)^3))*Data!$I$15/Time_scale</f>
        <v>29.135572613007405</v>
      </c>
      <c r="K14" s="26">
        <f>(PI() * SQRT(((1+(Data!$D17/Data!$D$16))/2)^3))*Data!$I$16/Time_scale</f>
        <v>43.475014596203522</v>
      </c>
      <c r="L14" s="27"/>
      <c r="M14" s="23" t="e">
        <f>1/((1/Data!E17)-(1/Data!$E$18))/Time_scale</f>
        <v>#DIV/0!</v>
      </c>
      <c r="N14" s="23" t="e">
        <f>1/((1/Data!E17)-(1/Data!$E$19))/Time_scale</f>
        <v>#DIV/0!</v>
      </c>
      <c r="O14" s="23" t="e">
        <f>1/((1/Data!E17)-(1/Data!$E$20))/Time_scale</f>
        <v>#DIV/0!</v>
      </c>
      <c r="P14" s="23" t="e">
        <f>1/((1/Data!E17)-(1/Data!$E$21))/Time_scale</f>
        <v>#DIV/0!</v>
      </c>
      <c r="Q14" s="23" t="e">
        <f>1/((1/Data!E17)-(1/Data!$E$22))/Time_scale</f>
        <v>#DIV/0!</v>
      </c>
      <c r="R14" s="23" t="e">
        <f>1/((1/Data!E17)-(1/Data!$E$23))/Time_scale</f>
        <v>#DIV/0!</v>
      </c>
      <c r="S14" s="23" t="e">
        <f>1/((1/Data!E17)-(1/Data!$E$24))/Time_scale</f>
        <v>#DIV/0!</v>
      </c>
      <c r="T14" s="23" t="e">
        <f>1/((1/Data!E17)-(1/Data!$E$25))/Time_scale</f>
        <v>#DIV/0!</v>
      </c>
      <c r="U14" s="23" t="e">
        <f>1/((1/Data!E17)-(1/Data!$E$26))/Time_scale</f>
        <v>#DIV/0!</v>
      </c>
      <c r="V14" s="23" t="e">
        <f>1/((1/Data!E17)-(1/Data!$E$27))/Time_scale</f>
        <v>#DIV/0!</v>
      </c>
      <c r="W14" s="23" t="e">
        <f>1/((1/Data!E17)-(1/Data!$E$28))/Time_scale</f>
        <v>#DIV/0!</v>
      </c>
      <c r="X14" s="23" t="e">
        <f>1/((1/Data!E17)-(1/Data!$E$29))/Time_scale</f>
        <v>#DIV/0!</v>
      </c>
      <c r="Y14" s="23" t="e">
        <f>1/((1/Data!E17)-(1/Data!$E$30))/Time_scale</f>
        <v>#DIV/0!</v>
      </c>
      <c r="Z14" s="23" t="e">
        <f>1/((1/Data!E17)-(1/Data!$E$31))/Time_scale</f>
        <v>#DIV/0!</v>
      </c>
      <c r="AA14" s="23" t="e">
        <f>1/((1/Data!E17)-(1/Data!$E$32))/Time_scale</f>
        <v>#DIV/0!</v>
      </c>
      <c r="AB14" s="23" t="e">
        <f>1/((1/Data!E17)-(1/Data!$E$33))/Time_scale</f>
        <v>#DIV/0!</v>
      </c>
      <c r="AC14" s="23" t="e">
        <f>1/((1/Data!E17)-(1/Data!$E$34))/Time_scale</f>
        <v>#DIV/0!</v>
      </c>
      <c r="AD14" s="23" t="e">
        <f>1/((1/Data!E17)-(1/Data!$E$35))/Time_scale</f>
        <v>#DIV/0!</v>
      </c>
      <c r="AE14" s="23" t="e">
        <f>1/((1/Data!E17)-(1/Data!$E$36))/Time_scale</f>
        <v>#DIV/0!</v>
      </c>
      <c r="AF14" s="17" t="str">
        <f>Data!A17</f>
        <v>S11</v>
      </c>
    </row>
    <row r="15" spans="1:32" x14ac:dyDescent="0.35">
      <c r="A15" s="5" t="str">
        <f>Data!A18</f>
        <v>S12</v>
      </c>
      <c r="B15" s="24">
        <f>(PI() * SQRT(((1+(Data!$D18/Data!$D$7))/2)^3))*Data!$I$7/Time_scale</f>
        <v>4.2604028415690505E-2</v>
      </c>
      <c r="C15" s="24">
        <f>(PI() * SQRT(((1+(Data!$D18/Data!$D$8))/2)^3))*Data!$I$8/Time_scale</f>
        <v>0.10882318031250299</v>
      </c>
      <c r="D15" s="24">
        <f>(PI() * SQRT(((1+(Data!$D18/Data!$D$9))/2)^3))*Data!$I$9/Time_scale</f>
        <v>0.17689587612720087</v>
      </c>
      <c r="E15" s="24">
        <f>(PI() * SQRT(((1+(Data!$D18/Data!$D$10))/2)^3))*Data!$I$10/Time_scale</f>
        <v>0.33265493649380085</v>
      </c>
      <c r="F15" s="24">
        <f>(PI() * SQRT(((1+(Data!$D18/Data!$D$11))/2)^3))*Data!$I$11/Time_scale</f>
        <v>0.81420065473543279</v>
      </c>
      <c r="G15" s="24">
        <f>(PI() * SQRT(((1+(Data!$D18/Data!$D$12))/2)^3))*Data!$I$12/Time_scale</f>
        <v>2.1002298000153301</v>
      </c>
      <c r="H15" s="24">
        <f>(PI() * SQRT(((1+(Data!$D18/Data!$D$13))/2)^3))*Data!$I$13/Time_scale</f>
        <v>5.2472347894306317</v>
      </c>
      <c r="I15" s="24">
        <f>(PI() * SQRT(((1+(Data!$D18/Data!$D$14))/2)^3))*Data!$I$14/Time_scale</f>
        <v>14.883370835964092</v>
      </c>
      <c r="J15" s="24">
        <f>(PI() * SQRT(((1+(Data!$D18/Data!$D$15))/2)^3))*Data!$I$15/Time_scale</f>
        <v>29.135572613007405</v>
      </c>
      <c r="K15" s="24">
        <f>(PI() * SQRT(((1+(Data!$D18/Data!$D$16))/2)^3))*Data!$I$16/Time_scale</f>
        <v>43.475014596203522</v>
      </c>
      <c r="L15" s="24" t="e">
        <f>(PI() * SQRT(((1+(Data!$D18/Data!$D$17))/2)^3))*Data!$I$17/Time_scale</f>
        <v>#DIV/0!</v>
      </c>
      <c r="M15" s="27"/>
      <c r="N15" s="25" t="e">
        <f>1/((1/Data!E18)-(1/Data!$E$19))/Time_scale</f>
        <v>#DIV/0!</v>
      </c>
      <c r="O15" s="25" t="e">
        <f>1/((1/Data!E18)-(1/Data!$E$20))/Time_scale</f>
        <v>#DIV/0!</v>
      </c>
      <c r="P15" s="25" t="e">
        <f>1/((1/Data!E18)-(1/Data!$E$21))/Time_scale</f>
        <v>#DIV/0!</v>
      </c>
      <c r="Q15" s="25" t="e">
        <f>1/((1/Data!E18)-(1/Data!$E$22))/Time_scale</f>
        <v>#DIV/0!</v>
      </c>
      <c r="R15" s="25" t="e">
        <f>1/((1/Data!E18)-(1/Data!$E$23))/Time_scale</f>
        <v>#DIV/0!</v>
      </c>
      <c r="S15" s="25" t="e">
        <f>1/((1/Data!E18)-(1/Data!$E$24))/Time_scale</f>
        <v>#DIV/0!</v>
      </c>
      <c r="T15" s="25" t="e">
        <f>1/((1/Data!E18)-(1/Data!$E$25))/Time_scale</f>
        <v>#DIV/0!</v>
      </c>
      <c r="U15" s="25" t="e">
        <f>1/((1/Data!E18)-(1/Data!$E$26))/Time_scale</f>
        <v>#DIV/0!</v>
      </c>
      <c r="V15" s="25" t="e">
        <f>1/((1/Data!E18)-(1/Data!$E$27))/Time_scale</f>
        <v>#DIV/0!</v>
      </c>
      <c r="W15" s="25" t="e">
        <f>1/((1/Data!E18)-(1/Data!$E$28))/Time_scale</f>
        <v>#DIV/0!</v>
      </c>
      <c r="X15" s="25" t="e">
        <f>1/((1/Data!E18)-(1/Data!$E$29))/Time_scale</f>
        <v>#DIV/0!</v>
      </c>
      <c r="Y15" s="25" t="e">
        <f>1/((1/Data!E18)-(1/Data!$E$30))/Time_scale</f>
        <v>#DIV/0!</v>
      </c>
      <c r="Z15" s="25" t="e">
        <f>1/((1/Data!E18)-(1/Data!$E$31))/Time_scale</f>
        <v>#DIV/0!</v>
      </c>
      <c r="AA15" s="25" t="e">
        <f>1/((1/Data!E18)-(1/Data!$E$32))/Time_scale</f>
        <v>#DIV/0!</v>
      </c>
      <c r="AB15" s="25" t="e">
        <f>1/((1/Data!E18)-(1/Data!$E$33))/Time_scale</f>
        <v>#DIV/0!</v>
      </c>
      <c r="AC15" s="25" t="e">
        <f>1/((1/Data!E18)-(1/Data!$E$34))/Time_scale</f>
        <v>#DIV/0!</v>
      </c>
      <c r="AD15" s="25" t="e">
        <f>1/((1/Data!E18)-(1/Data!$E$35))/Time_scale</f>
        <v>#DIV/0!</v>
      </c>
      <c r="AE15" s="25" t="e">
        <f>1/((1/Data!E18)-(1/Data!$E$36))/Time_scale</f>
        <v>#DIV/0!</v>
      </c>
      <c r="AF15" s="17" t="str">
        <f>Data!A18</f>
        <v>S12</v>
      </c>
    </row>
    <row r="16" spans="1:32" x14ac:dyDescent="0.35">
      <c r="A16" s="5" t="str">
        <f>Data!A19</f>
        <v>S13</v>
      </c>
      <c r="B16" s="26">
        <f>(PI() * SQRT(((1+(Data!$D19/Data!$D$7))/2)^3))*Data!$I$7/Time_scale</f>
        <v>4.2604028415690505E-2</v>
      </c>
      <c r="C16" s="26">
        <f>(PI() * SQRT(((1+(Data!$D19/Data!$D$8))/2)^3))*Data!$I$8/Time_scale</f>
        <v>0.10882318031250299</v>
      </c>
      <c r="D16" s="26">
        <f>(PI() * SQRT(((1+(Data!$D19/Data!$D$9))/2)^3))*Data!$I$9/Time_scale</f>
        <v>0.17689587612720087</v>
      </c>
      <c r="E16" s="26">
        <f>(PI() * SQRT(((1+(Data!$D19/Data!$D$10))/2)^3))*Data!$I$10/Time_scale</f>
        <v>0.33265493649380085</v>
      </c>
      <c r="F16" s="26">
        <f>(PI() * SQRT(((1+(Data!$D19/Data!$D$11))/2)^3))*Data!$I$11/Time_scale</f>
        <v>0.81420065473543279</v>
      </c>
      <c r="G16" s="26">
        <f>(PI() * SQRT(((1+(Data!$D19/Data!$D$12))/2)^3))*Data!$I$12/Time_scale</f>
        <v>2.1002298000153301</v>
      </c>
      <c r="H16" s="26">
        <f>(PI() * SQRT(((1+(Data!$D19/Data!$D$13))/2)^3))*Data!$I$13/Time_scale</f>
        <v>5.2472347894306317</v>
      </c>
      <c r="I16" s="26">
        <f>(PI() * SQRT(((1+(Data!$D19/Data!$D$14))/2)^3))*Data!$I$14/Time_scale</f>
        <v>14.883370835964092</v>
      </c>
      <c r="J16" s="26">
        <f>(PI() * SQRT(((1+(Data!$D19/Data!$D$15))/2)^3))*Data!$I$15/Time_scale</f>
        <v>29.135572613007405</v>
      </c>
      <c r="K16" s="26">
        <f>(PI() * SQRT(((1+(Data!$D19/Data!$D$16))/2)^3))*Data!$I$16/Time_scale</f>
        <v>43.475014596203522</v>
      </c>
      <c r="L16" s="26" t="e">
        <f>(PI() * SQRT(((1+(Data!$D19/Data!$D$17))/2)^3))*Data!$I$17/Time_scale</f>
        <v>#DIV/0!</v>
      </c>
      <c r="M16" s="26" t="e">
        <f>(PI() * SQRT(((1+(Data!$D19/Data!$D$18))/2)^3))*Data!$I$18/Time_scale</f>
        <v>#DIV/0!</v>
      </c>
      <c r="N16" s="27"/>
      <c r="O16" s="23" t="e">
        <f>1/((1/Data!E19)-(1/Data!$E$20))/Time_scale</f>
        <v>#DIV/0!</v>
      </c>
      <c r="P16" s="23" t="e">
        <f>1/((1/Data!E19)-(1/Data!$E$21))/Time_scale</f>
        <v>#DIV/0!</v>
      </c>
      <c r="Q16" s="23" t="e">
        <f>1/((1/Data!E19)-(1/Data!$E$22))/Time_scale</f>
        <v>#DIV/0!</v>
      </c>
      <c r="R16" s="23" t="e">
        <f>1/((1/Data!E19)-(1/Data!$E$23))/Time_scale</f>
        <v>#DIV/0!</v>
      </c>
      <c r="S16" s="23" t="e">
        <f>1/((1/Data!E19)-(1/Data!$E$24))/Time_scale</f>
        <v>#DIV/0!</v>
      </c>
      <c r="T16" s="23" t="e">
        <f>1/((1/Data!E19)-(1/Data!$E$25))/Time_scale</f>
        <v>#DIV/0!</v>
      </c>
      <c r="U16" s="23" t="e">
        <f>1/((1/Data!E19)-(1/Data!$E$26))/Time_scale</f>
        <v>#DIV/0!</v>
      </c>
      <c r="V16" s="23" t="e">
        <f>1/((1/Data!E19)-(1/Data!$E$27))/Time_scale</f>
        <v>#DIV/0!</v>
      </c>
      <c r="W16" s="23" t="e">
        <f>1/((1/Data!E19)-(1/Data!$E$28))/Time_scale</f>
        <v>#DIV/0!</v>
      </c>
      <c r="X16" s="23" t="e">
        <f>1/((1/Data!E19)-(1/Data!$E$29))/Time_scale</f>
        <v>#DIV/0!</v>
      </c>
      <c r="Y16" s="23" t="e">
        <f>1/((1/Data!E19)-(1/Data!$E$30))/Time_scale</f>
        <v>#DIV/0!</v>
      </c>
      <c r="Z16" s="23" t="e">
        <f>1/((1/Data!E19)-(1/Data!$E$31))/Time_scale</f>
        <v>#DIV/0!</v>
      </c>
      <c r="AA16" s="23" t="e">
        <f>1/((1/Data!E19)-(1/Data!$E$32))/Time_scale</f>
        <v>#DIV/0!</v>
      </c>
      <c r="AB16" s="23" t="e">
        <f>1/((1/Data!E19)-(1/Data!$E$33))/Time_scale</f>
        <v>#DIV/0!</v>
      </c>
      <c r="AC16" s="23" t="e">
        <f>1/((1/Data!E19)-(1/Data!$E$34))/Time_scale</f>
        <v>#DIV/0!</v>
      </c>
      <c r="AD16" s="23" t="e">
        <f>1/((1/Data!E19)-(1/Data!$E$35))/Time_scale</f>
        <v>#DIV/0!</v>
      </c>
      <c r="AE16" s="23" t="e">
        <f>1/((1/Data!E19)-(1/Data!$E$36))/Time_scale</f>
        <v>#DIV/0!</v>
      </c>
      <c r="AF16" s="17" t="str">
        <f>Data!A19</f>
        <v>S13</v>
      </c>
    </row>
    <row r="17" spans="1:32" x14ac:dyDescent="0.35">
      <c r="A17" s="5" t="str">
        <f>Data!A20</f>
        <v>S14</v>
      </c>
      <c r="B17" s="24">
        <f>(PI() * SQRT(((1+(Data!$D20/Data!$D$7))/2)^3))*Data!$I$7/Time_scale</f>
        <v>4.2604028415690505E-2</v>
      </c>
      <c r="C17" s="24">
        <f>(PI() * SQRT(((1+(Data!$D20/Data!$D$8))/2)^3))*Data!$I$8/Time_scale</f>
        <v>0.10882318031250299</v>
      </c>
      <c r="D17" s="24">
        <f>(PI() * SQRT(((1+(Data!$D20/Data!$D$9))/2)^3))*Data!$I$9/Time_scale</f>
        <v>0.17689587612720087</v>
      </c>
      <c r="E17" s="24">
        <f>(PI() * SQRT(((1+(Data!$D20/Data!$D$10))/2)^3))*Data!$I$10/Time_scale</f>
        <v>0.33265493649380085</v>
      </c>
      <c r="F17" s="24">
        <f>(PI() * SQRT(((1+(Data!$D20/Data!$D$11))/2)^3))*Data!$I$11/Time_scale</f>
        <v>0.81420065473543279</v>
      </c>
      <c r="G17" s="24">
        <f>(PI() * SQRT(((1+(Data!$D20/Data!$D$12))/2)^3))*Data!$I$12/Time_scale</f>
        <v>2.1002298000153301</v>
      </c>
      <c r="H17" s="24">
        <f>(PI() * SQRT(((1+(Data!$D20/Data!$D$13))/2)^3))*Data!$I$13/Time_scale</f>
        <v>5.2472347894306317</v>
      </c>
      <c r="I17" s="24">
        <f>(PI() * SQRT(((1+(Data!$D20/Data!$D$14))/2)^3))*Data!$I$14/Time_scale</f>
        <v>14.883370835964092</v>
      </c>
      <c r="J17" s="24">
        <f>(PI() * SQRT(((1+(Data!$D20/Data!$D$15))/2)^3))*Data!$I$15/Time_scale</f>
        <v>29.135572613007405</v>
      </c>
      <c r="K17" s="24">
        <f>(PI() * SQRT(((1+(Data!$D20/Data!$D$16))/2)^3))*Data!$I$16/Time_scale</f>
        <v>43.475014596203522</v>
      </c>
      <c r="L17" s="24" t="e">
        <f>(PI() * SQRT(((1+(Data!$D20/Data!$D$17))/2)^3))*Data!$I$17/Time_scale</f>
        <v>#DIV/0!</v>
      </c>
      <c r="M17" s="24" t="e">
        <f>(PI() * SQRT(((1+(Data!$D20/Data!$D$18))/2)^3))*Data!$I$18/Time_scale</f>
        <v>#DIV/0!</v>
      </c>
      <c r="N17" s="24" t="e">
        <f>(PI() * SQRT(((1+(Data!$D20/Data!$D$19))/2)^3))*Data!$I$19/Time_scale</f>
        <v>#DIV/0!</v>
      </c>
      <c r="O17" s="27"/>
      <c r="P17" s="25" t="e">
        <f>1/((1/Data!E20)-(1/Data!$E$21))/Time_scale</f>
        <v>#DIV/0!</v>
      </c>
      <c r="Q17" s="25" t="e">
        <f>1/((1/Data!E20)-(1/Data!$E$22))/Time_scale</f>
        <v>#DIV/0!</v>
      </c>
      <c r="R17" s="25" t="e">
        <f>1/((1/Data!E20)-(1/Data!$E$23))/Time_scale</f>
        <v>#DIV/0!</v>
      </c>
      <c r="S17" s="25" t="e">
        <f>1/((1/Data!E20)-(1/Data!$E$24))/Time_scale</f>
        <v>#DIV/0!</v>
      </c>
      <c r="T17" s="25" t="e">
        <f>1/((1/Data!E20)-(1/Data!$E$25))/Time_scale</f>
        <v>#DIV/0!</v>
      </c>
      <c r="U17" s="25" t="e">
        <f>1/((1/Data!E20)-(1/Data!$E$26))/Time_scale</f>
        <v>#DIV/0!</v>
      </c>
      <c r="V17" s="25" t="e">
        <f>1/((1/Data!E20)-(1/Data!$E$27))/Time_scale</f>
        <v>#DIV/0!</v>
      </c>
      <c r="W17" s="25" t="e">
        <f>1/((1/Data!E20)-(1/Data!$E$28))/Time_scale</f>
        <v>#DIV/0!</v>
      </c>
      <c r="X17" s="25" t="e">
        <f>1/((1/Data!E20)-(1/Data!$E$29))/Time_scale</f>
        <v>#DIV/0!</v>
      </c>
      <c r="Y17" s="25" t="e">
        <f>1/((1/Data!E20)-(1/Data!$E$30))/Time_scale</f>
        <v>#DIV/0!</v>
      </c>
      <c r="Z17" s="25" t="e">
        <f>1/((1/Data!E20)-(1/Data!$E$31))/Time_scale</f>
        <v>#DIV/0!</v>
      </c>
      <c r="AA17" s="25" t="e">
        <f>1/((1/Data!E20)-(1/Data!$E$32))/Time_scale</f>
        <v>#DIV/0!</v>
      </c>
      <c r="AB17" s="25" t="e">
        <f>1/((1/Data!E20)-(1/Data!$E$33))/Time_scale</f>
        <v>#DIV/0!</v>
      </c>
      <c r="AC17" s="25" t="e">
        <f>1/((1/Data!E20)-(1/Data!$E$34))/Time_scale</f>
        <v>#DIV/0!</v>
      </c>
      <c r="AD17" s="25" t="e">
        <f>1/((1/Data!E20)-(1/Data!$E$35))/Time_scale</f>
        <v>#DIV/0!</v>
      </c>
      <c r="AE17" s="25" t="e">
        <f>1/((1/Data!E20)-(1/Data!$E$36))/Time_scale</f>
        <v>#DIV/0!</v>
      </c>
      <c r="AF17" s="17" t="str">
        <f>Data!A20</f>
        <v>S14</v>
      </c>
    </row>
    <row r="18" spans="1:32" x14ac:dyDescent="0.35">
      <c r="A18" s="5" t="str">
        <f>Data!A21</f>
        <v>S15</v>
      </c>
      <c r="B18" s="26">
        <f>(PI() * SQRT(((1+(Data!$D21/Data!$D$7))/2)^3))*Data!$I$7/Time_scale</f>
        <v>4.2604028415690505E-2</v>
      </c>
      <c r="C18" s="26">
        <f>(PI() * SQRT(((1+(Data!$D21/Data!$D$8))/2)^3))*Data!$I$8/Time_scale</f>
        <v>0.10882318031250299</v>
      </c>
      <c r="D18" s="26">
        <f>(PI() * SQRT(((1+(Data!$D21/Data!$D$9))/2)^3))*Data!$I$9/Time_scale</f>
        <v>0.17689587612720087</v>
      </c>
      <c r="E18" s="26">
        <f>(PI() * SQRT(((1+(Data!$D21/Data!$D$10))/2)^3))*Data!$I$10/Time_scale</f>
        <v>0.33265493649380085</v>
      </c>
      <c r="F18" s="26">
        <f>(PI() * SQRT(((1+(Data!$D21/Data!$D$11))/2)^3))*Data!$I$11/Time_scale</f>
        <v>0.81420065473543279</v>
      </c>
      <c r="G18" s="26">
        <f>(PI() * SQRT(((1+(Data!$D21/Data!$D$12))/2)^3))*Data!$I$12/Time_scale</f>
        <v>2.1002298000153301</v>
      </c>
      <c r="H18" s="26">
        <f>(PI() * SQRT(((1+(Data!$D21/Data!$D$13))/2)^3))*Data!$I$13/Time_scale</f>
        <v>5.2472347894306317</v>
      </c>
      <c r="I18" s="26">
        <f>(PI() * SQRT(((1+(Data!$D21/Data!$D$14))/2)^3))*Data!$I$14/Time_scale</f>
        <v>14.883370835964092</v>
      </c>
      <c r="J18" s="26">
        <f>(PI() * SQRT(((1+(Data!$D21/Data!$D$15))/2)^3))*Data!$I$15/Time_scale</f>
        <v>29.135572613007405</v>
      </c>
      <c r="K18" s="26">
        <f>(PI() * SQRT(((1+(Data!$D21/Data!$D$16))/2)^3))*Data!$I$16/Time_scale</f>
        <v>43.475014596203522</v>
      </c>
      <c r="L18" s="26" t="e">
        <f>(PI() * SQRT(((1+(Data!$D21/Data!$D$17))/2)^3))*Data!$I$17/Time_scale</f>
        <v>#DIV/0!</v>
      </c>
      <c r="M18" s="26" t="e">
        <f>(PI() * SQRT(((1+(Data!$D21/Data!$D$18))/2)^3))*Data!$I$18/Time_scale</f>
        <v>#DIV/0!</v>
      </c>
      <c r="N18" s="26" t="e">
        <f>(PI() * SQRT(((1+(Data!$D21/Data!$D$19))/2)^3))*Data!$I$19/Time_scale</f>
        <v>#DIV/0!</v>
      </c>
      <c r="O18" s="26" t="e">
        <f>(PI() * SQRT(((1+(Data!$D21/Data!$D$20))/2)^3))*Data!$I$20/Time_scale</f>
        <v>#DIV/0!</v>
      </c>
      <c r="P18" s="27"/>
      <c r="Q18" s="23" t="e">
        <f>1/((1/Data!E21)-(1/Data!$E$22))/Time_scale</f>
        <v>#DIV/0!</v>
      </c>
      <c r="R18" s="23" t="e">
        <f>1/((1/Data!E21)-(1/Data!$E$23))/Time_scale</f>
        <v>#DIV/0!</v>
      </c>
      <c r="S18" s="23" t="e">
        <f>1/((1/Data!E21)-(1/Data!$E$24))/Time_scale</f>
        <v>#DIV/0!</v>
      </c>
      <c r="T18" s="23" t="e">
        <f>1/((1/Data!E21)-(1/Data!$E$25))/Time_scale</f>
        <v>#DIV/0!</v>
      </c>
      <c r="U18" s="23" t="e">
        <f>1/((1/Data!E21)-(1/Data!$E$26))/Time_scale</f>
        <v>#DIV/0!</v>
      </c>
      <c r="V18" s="23" t="e">
        <f>1/((1/Data!E21)-(1/Data!$E$27))/Time_scale</f>
        <v>#DIV/0!</v>
      </c>
      <c r="W18" s="23" t="e">
        <f>1/((1/Data!E21)-(1/Data!$E$28))/Time_scale</f>
        <v>#DIV/0!</v>
      </c>
      <c r="X18" s="23" t="e">
        <f>1/((1/Data!E21)-(1/Data!$E$29))/Time_scale</f>
        <v>#DIV/0!</v>
      </c>
      <c r="Y18" s="23" t="e">
        <f>1/((1/Data!E21)-(1/Data!$E$30))/Time_scale</f>
        <v>#DIV/0!</v>
      </c>
      <c r="Z18" s="23" t="e">
        <f>1/((1/Data!E21)-(1/Data!$E$31))/Time_scale</f>
        <v>#DIV/0!</v>
      </c>
      <c r="AA18" s="23" t="e">
        <f>1/((1/Data!E21)-(1/Data!$E$32))/Time_scale</f>
        <v>#DIV/0!</v>
      </c>
      <c r="AB18" s="23" t="e">
        <f>1/((1/Data!E21)-(1/Data!$E$33))/Time_scale</f>
        <v>#DIV/0!</v>
      </c>
      <c r="AC18" s="23" t="e">
        <f>1/((1/Data!E21)-(1/Data!$E$34))/Time_scale</f>
        <v>#DIV/0!</v>
      </c>
      <c r="AD18" s="23" t="e">
        <f>1/((1/Data!E21)-(1/Data!$E$35))/Time_scale</f>
        <v>#DIV/0!</v>
      </c>
      <c r="AE18" s="23" t="e">
        <f>1/((1/Data!E21)-(1/Data!$E$36))/Time_scale</f>
        <v>#DIV/0!</v>
      </c>
      <c r="AF18" s="17" t="str">
        <f>Data!A21</f>
        <v>S15</v>
      </c>
    </row>
    <row r="19" spans="1:32" x14ac:dyDescent="0.35">
      <c r="A19" s="5" t="str">
        <f>Data!A22</f>
        <v>S16</v>
      </c>
      <c r="B19" s="24">
        <f>(PI() * SQRT(((1+(Data!$D22/Data!$D$7))/2)^3))*Data!$I$7/Time_scale</f>
        <v>4.2604028415690505E-2</v>
      </c>
      <c r="C19" s="24">
        <f>(PI() * SQRT(((1+(Data!$D22/Data!$D$8))/2)^3))*Data!$I$8/Time_scale</f>
        <v>0.10882318031250299</v>
      </c>
      <c r="D19" s="24">
        <f>(PI() * SQRT(((1+(Data!$D22/Data!$D$9))/2)^3))*Data!$I$9/Time_scale</f>
        <v>0.17689587612720087</v>
      </c>
      <c r="E19" s="24">
        <f>(PI() * SQRT(((1+(Data!$D22/Data!$D$10))/2)^3))*Data!$I$10/Time_scale</f>
        <v>0.33265493649380085</v>
      </c>
      <c r="F19" s="24">
        <f>(PI() * SQRT(((1+(Data!$D22/Data!$D$11))/2)^3))*Data!$I$11/Time_scale</f>
        <v>0.81420065473543279</v>
      </c>
      <c r="G19" s="24">
        <f>(PI() * SQRT(((1+(Data!$D22/Data!$D$12))/2)^3))*Data!$I$12/Time_scale</f>
        <v>2.1002298000153301</v>
      </c>
      <c r="H19" s="24">
        <f>(PI() * SQRT(((1+(Data!$D22/Data!$D$13))/2)^3))*Data!$I$13/Time_scale</f>
        <v>5.2472347894306317</v>
      </c>
      <c r="I19" s="24">
        <f>(PI() * SQRT(((1+(Data!$D22/Data!$D$14))/2)^3))*Data!$I$14/Time_scale</f>
        <v>14.883370835964092</v>
      </c>
      <c r="J19" s="24">
        <f>(PI() * SQRT(((1+(Data!$D22/Data!$D$15))/2)^3))*Data!$I$15/Time_scale</f>
        <v>29.135572613007405</v>
      </c>
      <c r="K19" s="24">
        <f>(PI() * SQRT(((1+(Data!$D22/Data!$D$16))/2)^3))*Data!$I$16/Time_scale</f>
        <v>43.475014596203522</v>
      </c>
      <c r="L19" s="24" t="e">
        <f>(PI() * SQRT(((1+(Data!$D22/Data!$D$17))/2)^3))*Data!$I$17/Time_scale</f>
        <v>#DIV/0!</v>
      </c>
      <c r="M19" s="24" t="e">
        <f>(PI() * SQRT(((1+(Data!$D22/Data!$D$18))/2)^3))*Data!$I$18/Time_scale</f>
        <v>#DIV/0!</v>
      </c>
      <c r="N19" s="24" t="e">
        <f>(PI() * SQRT(((1+(Data!$D22/Data!$D$19))/2)^3))*Data!$I$19/Time_scale</f>
        <v>#DIV/0!</v>
      </c>
      <c r="O19" s="24" t="e">
        <f>(PI() * SQRT(((1+(Data!$D22/Data!$D$20))/2)^3))*Data!$I$20/Time_scale</f>
        <v>#DIV/0!</v>
      </c>
      <c r="P19" s="24" t="e">
        <f>(PI() * SQRT(((1+(Data!$D22/Data!$D$21))/2)^3))*Data!$I$21/Time_scale</f>
        <v>#DIV/0!</v>
      </c>
      <c r="Q19" s="27"/>
      <c r="R19" s="25" t="e">
        <f>1/((1/Data!E22)-(1/Data!$E$23))/Time_scale</f>
        <v>#DIV/0!</v>
      </c>
      <c r="S19" s="25" t="e">
        <f>1/((1/Data!E22)-(1/Data!$E$24))/Time_scale</f>
        <v>#DIV/0!</v>
      </c>
      <c r="T19" s="25" t="e">
        <f>1/((1/Data!E22)-(1/Data!$E$25))/Time_scale</f>
        <v>#DIV/0!</v>
      </c>
      <c r="U19" s="25" t="e">
        <f>1/((1/Data!E22)-(1/Data!$E$26))/Time_scale</f>
        <v>#DIV/0!</v>
      </c>
      <c r="V19" s="25" t="e">
        <f>1/((1/Data!E22)-(1/Data!$E$27))/Time_scale</f>
        <v>#DIV/0!</v>
      </c>
      <c r="W19" s="25" t="e">
        <f>1/((1/Data!E22)-(1/Data!$E$28))/Time_scale</f>
        <v>#DIV/0!</v>
      </c>
      <c r="X19" s="25" t="e">
        <f>1/((1/Data!E22)-(1/Data!$E$29))/Time_scale</f>
        <v>#DIV/0!</v>
      </c>
      <c r="Y19" s="25" t="e">
        <f>1/((1/Data!E22)-(1/Data!$E$30))/Time_scale</f>
        <v>#DIV/0!</v>
      </c>
      <c r="Z19" s="25" t="e">
        <f>1/((1/Data!E22)-(1/Data!$E$31))/Time_scale</f>
        <v>#DIV/0!</v>
      </c>
      <c r="AA19" s="25" t="e">
        <f>1/((1/Data!E22)-(1/Data!$E$32))/Time_scale</f>
        <v>#DIV/0!</v>
      </c>
      <c r="AB19" s="25" t="e">
        <f>1/((1/Data!E22)-(1/Data!$E$33))/Time_scale</f>
        <v>#DIV/0!</v>
      </c>
      <c r="AC19" s="25" t="e">
        <f>1/((1/Data!E22)-(1/Data!$E$34))/Time_scale</f>
        <v>#DIV/0!</v>
      </c>
      <c r="AD19" s="25" t="e">
        <f>1/((1/Data!E22)-(1/Data!$E$35))/Time_scale</f>
        <v>#DIV/0!</v>
      </c>
      <c r="AE19" s="25" t="e">
        <f>1/((1/Data!E22)-(1/Data!$E$36))/Time_scale</f>
        <v>#DIV/0!</v>
      </c>
      <c r="AF19" s="17" t="str">
        <f>Data!A22</f>
        <v>S16</v>
      </c>
    </row>
    <row r="20" spans="1:32" x14ac:dyDescent="0.35">
      <c r="A20" s="5" t="str">
        <f>Data!A23</f>
        <v>S17</v>
      </c>
      <c r="B20" s="26">
        <f>(PI() * SQRT(((1+(Data!$D23/Data!$D$7))/2)^3))*Data!$I$7/Time_scale</f>
        <v>4.2604028415690505E-2</v>
      </c>
      <c r="C20" s="26">
        <f>(PI() * SQRT(((1+(Data!$D23/Data!$D$8))/2)^3))*Data!$I$8/Time_scale</f>
        <v>0.10882318031250299</v>
      </c>
      <c r="D20" s="26">
        <f>(PI() * SQRT(((1+(Data!$D23/Data!$D$9))/2)^3))*Data!$I$9/Time_scale</f>
        <v>0.17689587612720087</v>
      </c>
      <c r="E20" s="26">
        <f>(PI() * SQRT(((1+(Data!$D23/Data!$D$10))/2)^3))*Data!$I$10/Time_scale</f>
        <v>0.33265493649380085</v>
      </c>
      <c r="F20" s="26">
        <f>(PI() * SQRT(((1+(Data!$D23/Data!$D$11))/2)^3))*Data!$I$11/Time_scale</f>
        <v>0.81420065473543279</v>
      </c>
      <c r="G20" s="26">
        <f>(PI() * SQRT(((1+(Data!$D23/Data!$D$12))/2)^3))*Data!$I$12/Time_scale</f>
        <v>2.1002298000153301</v>
      </c>
      <c r="H20" s="26">
        <f>(PI() * SQRT(((1+(Data!$D23/Data!$D$13))/2)^3))*Data!$I$13/Time_scale</f>
        <v>5.2472347894306317</v>
      </c>
      <c r="I20" s="26">
        <f>(PI() * SQRT(((1+(Data!$D23/Data!$D$14))/2)^3))*Data!$I$14/Time_scale</f>
        <v>14.883370835964092</v>
      </c>
      <c r="J20" s="26">
        <f>(PI() * SQRT(((1+(Data!$D23/Data!$D$15))/2)^3))*Data!$I$15/Time_scale</f>
        <v>29.135572613007405</v>
      </c>
      <c r="K20" s="26">
        <f>(PI() * SQRT(((1+(Data!$D23/Data!$D$16))/2)^3))*Data!$I$16/Time_scale</f>
        <v>43.475014596203522</v>
      </c>
      <c r="L20" s="26" t="e">
        <f>(PI() * SQRT(((1+(Data!$D23/Data!$D$17))/2)^3))*Data!$I$17/Time_scale</f>
        <v>#DIV/0!</v>
      </c>
      <c r="M20" s="26" t="e">
        <f>(PI() * SQRT(((1+(Data!$D23/Data!$D$18))/2)^3))*Data!$I$18/Time_scale</f>
        <v>#DIV/0!</v>
      </c>
      <c r="N20" s="26" t="e">
        <f>(PI() * SQRT(((1+(Data!$D23/Data!$D$19))/2)^3))*Data!$I$19/Time_scale</f>
        <v>#DIV/0!</v>
      </c>
      <c r="O20" s="26" t="e">
        <f>(PI() * SQRT(((1+(Data!$D23/Data!$D$20))/2)^3))*Data!$I$20/Time_scale</f>
        <v>#DIV/0!</v>
      </c>
      <c r="P20" s="26" t="e">
        <f>(PI() * SQRT(((1+(Data!$D23/Data!$D$21))/2)^3))*Data!$I$21/Time_scale</f>
        <v>#DIV/0!</v>
      </c>
      <c r="Q20" s="26" t="e">
        <f>(PI() * SQRT(((1+(Data!$D23/Data!$D$22))/2)^3))*Data!$I$22/Time_scale</f>
        <v>#DIV/0!</v>
      </c>
      <c r="R20" s="27"/>
      <c r="S20" s="23" t="e">
        <f>1/((1/Data!E23)-(1/Data!$E$24))/Time_scale</f>
        <v>#DIV/0!</v>
      </c>
      <c r="T20" s="23" t="e">
        <f>1/((1/Data!E23)-(1/Data!$E$25))/Time_scale</f>
        <v>#DIV/0!</v>
      </c>
      <c r="U20" s="23" t="e">
        <f>1/((1/Data!E23)-(1/Data!$E$26))/Time_scale</f>
        <v>#DIV/0!</v>
      </c>
      <c r="V20" s="23" t="e">
        <f>1/((1/Data!E23)-(1/Data!$E$27))/Time_scale</f>
        <v>#DIV/0!</v>
      </c>
      <c r="W20" s="23" t="e">
        <f>1/((1/Data!E23)-(1/Data!$E$28))/Time_scale</f>
        <v>#DIV/0!</v>
      </c>
      <c r="X20" s="23" t="e">
        <f>1/((1/Data!E23)-(1/Data!$E$29))/Time_scale</f>
        <v>#DIV/0!</v>
      </c>
      <c r="Y20" s="23" t="e">
        <f>1/((1/Data!E23)-(1/Data!$E$30))/Time_scale</f>
        <v>#DIV/0!</v>
      </c>
      <c r="Z20" s="23" t="e">
        <f>1/((1/Data!E23)-(1/Data!$E$31))/Time_scale</f>
        <v>#DIV/0!</v>
      </c>
      <c r="AA20" s="23" t="e">
        <f>1/((1/Data!E23)-(1/Data!$E$32))/Time_scale</f>
        <v>#DIV/0!</v>
      </c>
      <c r="AB20" s="23" t="e">
        <f>1/((1/Data!E23)-(1/Data!$E$33))/Time_scale</f>
        <v>#DIV/0!</v>
      </c>
      <c r="AC20" s="23" t="e">
        <f>1/((1/Data!E23)-(1/Data!$E$34))/Time_scale</f>
        <v>#DIV/0!</v>
      </c>
      <c r="AD20" s="23" t="e">
        <f>1/((1/Data!E23)-(1/Data!$E$35))/Time_scale</f>
        <v>#DIV/0!</v>
      </c>
      <c r="AE20" s="23" t="e">
        <f>1/((1/Data!E23)-(1/Data!$E$36))/Time_scale</f>
        <v>#DIV/0!</v>
      </c>
      <c r="AF20" s="17" t="str">
        <f>Data!A23</f>
        <v>S17</v>
      </c>
    </row>
    <row r="21" spans="1:32" x14ac:dyDescent="0.35">
      <c r="A21" s="5" t="str">
        <f>Data!A24</f>
        <v>S18</v>
      </c>
      <c r="B21" s="24">
        <f>(PI() * SQRT(((1+(Data!$D24/Data!$D$7))/2)^3))*Data!$I$7/Time_scale</f>
        <v>4.2604028415690505E-2</v>
      </c>
      <c r="C21" s="24">
        <f>(PI() * SQRT(((1+(Data!$D24/Data!$D$8))/2)^3))*Data!$I$8/Time_scale</f>
        <v>0.10882318031250299</v>
      </c>
      <c r="D21" s="24">
        <f>(PI() * SQRT(((1+(Data!$D24/Data!$D$9))/2)^3))*Data!$I$9/Time_scale</f>
        <v>0.17689587612720087</v>
      </c>
      <c r="E21" s="24">
        <f>(PI() * SQRT(((1+(Data!$D24/Data!$D$10))/2)^3))*Data!$I$10/Time_scale</f>
        <v>0.33265493649380085</v>
      </c>
      <c r="F21" s="24">
        <f>(PI() * SQRT(((1+(Data!$D24/Data!$D$11))/2)^3))*Data!$I$11/Time_scale</f>
        <v>0.81420065473543279</v>
      </c>
      <c r="G21" s="24">
        <f>(PI() * SQRT(((1+(Data!$D24/Data!$D$12))/2)^3))*Data!$I$12/Time_scale</f>
        <v>2.1002298000153301</v>
      </c>
      <c r="H21" s="24">
        <f>(PI() * SQRT(((1+(Data!$D24/Data!$D$13))/2)^3))*Data!$I$13/Time_scale</f>
        <v>5.2472347894306317</v>
      </c>
      <c r="I21" s="24">
        <f>(PI() * SQRT(((1+(Data!$D24/Data!$D$14))/2)^3))*Data!$I$14/Time_scale</f>
        <v>14.883370835964092</v>
      </c>
      <c r="J21" s="24">
        <f>(PI() * SQRT(((1+(Data!$D24/Data!$D$15))/2)^3))*Data!$I$15/Time_scale</f>
        <v>29.135572613007405</v>
      </c>
      <c r="K21" s="24">
        <f>(PI() * SQRT(((1+(Data!$D24/Data!$D$16))/2)^3))*Data!$I$16/Time_scale</f>
        <v>43.475014596203522</v>
      </c>
      <c r="L21" s="24" t="e">
        <f>(PI() * SQRT(((1+(Data!$D24/Data!$D$17))/2)^3))*Data!$I$17/Time_scale</f>
        <v>#DIV/0!</v>
      </c>
      <c r="M21" s="24" t="e">
        <f>(PI() * SQRT(((1+(Data!$D24/Data!$D$18))/2)^3))*Data!$I$18/Time_scale</f>
        <v>#DIV/0!</v>
      </c>
      <c r="N21" s="24" t="e">
        <f>(PI() * SQRT(((1+(Data!$D24/Data!$D$19))/2)^3))*Data!$I$19/Time_scale</f>
        <v>#DIV/0!</v>
      </c>
      <c r="O21" s="24" t="e">
        <f>(PI() * SQRT(((1+(Data!$D24/Data!$D$20))/2)^3))*Data!$I$20/Time_scale</f>
        <v>#DIV/0!</v>
      </c>
      <c r="P21" s="24" t="e">
        <f>(PI() * SQRT(((1+(Data!$D24/Data!$D$21))/2)^3))*Data!$I$21/Time_scale</f>
        <v>#DIV/0!</v>
      </c>
      <c r="Q21" s="24" t="e">
        <f>(PI() * SQRT(((1+(Data!$D24/Data!$D$22))/2)^3))*Data!$I$22/Time_scale</f>
        <v>#DIV/0!</v>
      </c>
      <c r="R21" s="24" t="e">
        <f>(PI() * SQRT(((1+(Data!$D24/Data!$D$23))/2)^3))*Data!$I$23/Time_scale</f>
        <v>#DIV/0!</v>
      </c>
      <c r="S21" s="27"/>
      <c r="T21" s="25" t="e">
        <f>1/((1/Data!E24)-(1/Data!$E$25))/Time_scale</f>
        <v>#DIV/0!</v>
      </c>
      <c r="U21" s="25" t="e">
        <f>1/((1/Data!E24)-(1/Data!$E$26))/Time_scale</f>
        <v>#DIV/0!</v>
      </c>
      <c r="V21" s="25" t="e">
        <f>1/((1/Data!E24)-(1/Data!$E$27))/Time_scale</f>
        <v>#DIV/0!</v>
      </c>
      <c r="W21" s="25" t="e">
        <f>1/((1/Data!E24)-(1/Data!$E$28))/Time_scale</f>
        <v>#DIV/0!</v>
      </c>
      <c r="X21" s="25" t="e">
        <f>1/((1/Data!E24)-(1/Data!$E$29))/Time_scale</f>
        <v>#DIV/0!</v>
      </c>
      <c r="Y21" s="25" t="e">
        <f>1/((1/Data!E24)-(1/Data!$E$30))/Time_scale</f>
        <v>#DIV/0!</v>
      </c>
      <c r="Z21" s="25" t="e">
        <f>1/((1/Data!E24)-(1/Data!$E$31))/Time_scale</f>
        <v>#DIV/0!</v>
      </c>
      <c r="AA21" s="25" t="e">
        <f>1/((1/Data!E24)-(1/Data!$E$32))/Time_scale</f>
        <v>#DIV/0!</v>
      </c>
      <c r="AB21" s="25" t="e">
        <f>1/((1/Data!E24)-(1/Data!$E$33))/Time_scale</f>
        <v>#DIV/0!</v>
      </c>
      <c r="AC21" s="25" t="e">
        <f>1/((1/Data!E24)-(1/Data!$E$34))/Time_scale</f>
        <v>#DIV/0!</v>
      </c>
      <c r="AD21" s="25" t="e">
        <f>1/((1/Data!E24)-(1/Data!$E$35))/Time_scale</f>
        <v>#DIV/0!</v>
      </c>
      <c r="AE21" s="25" t="e">
        <f>1/((1/Data!E24)-(1/Data!$E$36))/Time_scale</f>
        <v>#DIV/0!</v>
      </c>
      <c r="AF21" s="17" t="str">
        <f>Data!A24</f>
        <v>S18</v>
      </c>
    </row>
    <row r="22" spans="1:32" x14ac:dyDescent="0.35">
      <c r="A22" s="5" t="str">
        <f>Data!A25</f>
        <v>S19</v>
      </c>
      <c r="B22" s="26">
        <f>(PI() * SQRT(((1+(Data!$D25/Data!$D$7))/2)^3))*Data!$I$7/Time_scale</f>
        <v>4.2604028415690505E-2</v>
      </c>
      <c r="C22" s="26">
        <f>(PI() * SQRT(((1+(Data!$D25/Data!$D$8))/2)^3))*Data!$I$8/Time_scale</f>
        <v>0.10882318031250299</v>
      </c>
      <c r="D22" s="26">
        <f>(PI() * SQRT(((1+(Data!$D25/Data!$D$9))/2)^3))*Data!$I$9/Time_scale</f>
        <v>0.17689587612720087</v>
      </c>
      <c r="E22" s="26">
        <f>(PI() * SQRT(((1+(Data!$D25/Data!$D$10))/2)^3))*Data!$I$10/Time_scale</f>
        <v>0.33265493649380085</v>
      </c>
      <c r="F22" s="26">
        <f>(PI() * SQRT(((1+(Data!$D25/Data!$D$11))/2)^3))*Data!$I$11/Time_scale</f>
        <v>0.81420065473543279</v>
      </c>
      <c r="G22" s="26">
        <f>(PI() * SQRT(((1+(Data!$D25/Data!$D$12))/2)^3))*Data!$I$12/Time_scale</f>
        <v>2.1002298000153301</v>
      </c>
      <c r="H22" s="26">
        <f>(PI() * SQRT(((1+(Data!$D25/Data!$D$13))/2)^3))*Data!$I$13/Time_scale</f>
        <v>5.2472347894306317</v>
      </c>
      <c r="I22" s="26">
        <f>(PI() * SQRT(((1+(Data!$D25/Data!$D$14))/2)^3))*Data!$I$14/Time_scale</f>
        <v>14.883370835964092</v>
      </c>
      <c r="J22" s="26">
        <f>(PI() * SQRT(((1+(Data!$D25/Data!$D$15))/2)^3))*Data!$I$15/Time_scale</f>
        <v>29.135572613007405</v>
      </c>
      <c r="K22" s="26">
        <f>(PI() * SQRT(((1+(Data!$D25/Data!$D$16))/2)^3))*Data!$I$16/Time_scale</f>
        <v>43.475014596203522</v>
      </c>
      <c r="L22" s="26" t="e">
        <f>(PI() * SQRT(((1+(Data!$D25/Data!$D$17))/2)^3))*Data!$I$17/Time_scale</f>
        <v>#DIV/0!</v>
      </c>
      <c r="M22" s="26" t="e">
        <f>(PI() * SQRT(((1+(Data!$D25/Data!$D$18))/2)^3))*Data!$I$18/Time_scale</f>
        <v>#DIV/0!</v>
      </c>
      <c r="N22" s="26" t="e">
        <f>(PI() * SQRT(((1+(Data!$D25/Data!$D$19))/2)^3))*Data!$I$19/Time_scale</f>
        <v>#DIV/0!</v>
      </c>
      <c r="O22" s="26" t="e">
        <f>(PI() * SQRT(((1+(Data!$D25/Data!$D$20))/2)^3))*Data!$I$20/Time_scale</f>
        <v>#DIV/0!</v>
      </c>
      <c r="P22" s="26" t="e">
        <f>(PI() * SQRT(((1+(Data!$D25/Data!$D$21))/2)^3))*Data!$I$21/Time_scale</f>
        <v>#DIV/0!</v>
      </c>
      <c r="Q22" s="26" t="e">
        <f>(PI() * SQRT(((1+(Data!$D25/Data!$D$22))/2)^3))*Data!$I$22/Time_scale</f>
        <v>#DIV/0!</v>
      </c>
      <c r="R22" s="26" t="e">
        <f>(PI() * SQRT(((1+(Data!$D25/Data!$D$23))/2)^3))*Data!$I$23/Time_scale</f>
        <v>#DIV/0!</v>
      </c>
      <c r="S22" s="26" t="e">
        <f>(PI() * SQRT(((1+(Data!$D25/Data!$D$24))/2)^3))*Data!$I$24/Time_scale</f>
        <v>#DIV/0!</v>
      </c>
      <c r="T22" s="27"/>
      <c r="U22" s="23" t="e">
        <f>1/((1/Data!E25)-(1/Data!$E$26))/Time_scale</f>
        <v>#DIV/0!</v>
      </c>
      <c r="V22" s="23" t="e">
        <f>1/((1/Data!E25)-(1/Data!$E$27))/Time_scale</f>
        <v>#DIV/0!</v>
      </c>
      <c r="W22" s="23" t="e">
        <f>1/((1/Data!E25)-(1/Data!$E$28))/Time_scale</f>
        <v>#DIV/0!</v>
      </c>
      <c r="X22" s="23" t="e">
        <f>1/((1/Data!E25)-(1/Data!$E$29))/Time_scale</f>
        <v>#DIV/0!</v>
      </c>
      <c r="Y22" s="23" t="e">
        <f>1/((1/Data!E25)-(1/Data!$E$30))/Time_scale</f>
        <v>#DIV/0!</v>
      </c>
      <c r="Z22" s="23" t="e">
        <f>1/((1/Data!E25)-(1/Data!$E$31))/Time_scale</f>
        <v>#DIV/0!</v>
      </c>
      <c r="AA22" s="23" t="e">
        <f>1/((1/Data!E25)-(1/Data!$E$32))/Time_scale</f>
        <v>#DIV/0!</v>
      </c>
      <c r="AB22" s="23" t="e">
        <f>1/((1/Data!E25)-(1/Data!$E$33))/Time_scale</f>
        <v>#DIV/0!</v>
      </c>
      <c r="AC22" s="23" t="e">
        <f>1/((1/Data!E25)-(1/Data!$E$34))/Time_scale</f>
        <v>#DIV/0!</v>
      </c>
      <c r="AD22" s="23" t="e">
        <f>1/((1/Data!E25)-(1/Data!$E$35))/Time_scale</f>
        <v>#DIV/0!</v>
      </c>
      <c r="AE22" s="23" t="e">
        <f>1/((1/Data!E25)-(1/Data!$E$36))/Time_scale</f>
        <v>#DIV/0!</v>
      </c>
      <c r="AF22" s="17" t="str">
        <f>Data!A25</f>
        <v>S19</v>
      </c>
    </row>
    <row r="23" spans="1:32" x14ac:dyDescent="0.35">
      <c r="A23" s="5" t="str">
        <f>Data!A26</f>
        <v>S20</v>
      </c>
      <c r="B23" s="24">
        <f>(PI() * SQRT(((1+(Data!$D26/Data!$D$7))/2)^3))*Data!$I$7/Time_scale</f>
        <v>4.2604028415690505E-2</v>
      </c>
      <c r="C23" s="24">
        <f>(PI() * SQRT(((1+(Data!$D26/Data!$D$8))/2)^3))*Data!$I$8/Time_scale</f>
        <v>0.10882318031250299</v>
      </c>
      <c r="D23" s="24">
        <f>(PI() * SQRT(((1+(Data!$D26/Data!$D$9))/2)^3))*Data!$I$9/Time_scale</f>
        <v>0.17689587612720087</v>
      </c>
      <c r="E23" s="24">
        <f>(PI() * SQRT(((1+(Data!$D26/Data!$D$10))/2)^3))*Data!$I$10/Time_scale</f>
        <v>0.33265493649380085</v>
      </c>
      <c r="F23" s="24">
        <f>(PI() * SQRT(((1+(Data!$D26/Data!$D$11))/2)^3))*Data!$I$11/Time_scale</f>
        <v>0.81420065473543279</v>
      </c>
      <c r="G23" s="24">
        <f>(PI() * SQRT(((1+(Data!$D26/Data!$D$12))/2)^3))*Data!$I$12/Time_scale</f>
        <v>2.1002298000153301</v>
      </c>
      <c r="H23" s="24">
        <f>(PI() * SQRT(((1+(Data!$D26/Data!$D$13))/2)^3))*Data!$I$13/Time_scale</f>
        <v>5.2472347894306317</v>
      </c>
      <c r="I23" s="24">
        <f>(PI() * SQRT(((1+(Data!$D26/Data!$D$14))/2)^3))*Data!$I$14/Time_scale</f>
        <v>14.883370835964092</v>
      </c>
      <c r="J23" s="24">
        <f>(PI() * SQRT(((1+(Data!$D26/Data!$D$15))/2)^3))*Data!$I$15/Time_scale</f>
        <v>29.135572613007405</v>
      </c>
      <c r="K23" s="24">
        <f>(PI() * SQRT(((1+(Data!$D26/Data!$D$16))/2)^3))*Data!$I$16/Time_scale</f>
        <v>43.475014596203522</v>
      </c>
      <c r="L23" s="24" t="e">
        <f>(PI() * SQRT(((1+(Data!$D26/Data!$D$17))/2)^3))*Data!$I$17/Time_scale</f>
        <v>#DIV/0!</v>
      </c>
      <c r="M23" s="24" t="e">
        <f>(PI() * SQRT(((1+(Data!$D26/Data!$D$18))/2)^3))*Data!$I$18/Time_scale</f>
        <v>#DIV/0!</v>
      </c>
      <c r="N23" s="24" t="e">
        <f>(PI() * SQRT(((1+(Data!$D26/Data!$D$19))/2)^3))*Data!$I$19/Time_scale</f>
        <v>#DIV/0!</v>
      </c>
      <c r="O23" s="24" t="e">
        <f>(PI() * SQRT(((1+(Data!$D26/Data!$D$20))/2)^3))*Data!$I$20/Time_scale</f>
        <v>#DIV/0!</v>
      </c>
      <c r="P23" s="24" t="e">
        <f>(PI() * SQRT(((1+(Data!$D26/Data!$D$21))/2)^3))*Data!$I$21/Time_scale</f>
        <v>#DIV/0!</v>
      </c>
      <c r="Q23" s="24" t="e">
        <f>(PI() * SQRT(((1+(Data!$D26/Data!$D$22))/2)^3))*Data!$I$22/Time_scale</f>
        <v>#DIV/0!</v>
      </c>
      <c r="R23" s="24" t="e">
        <f>(PI() * SQRT(((1+(Data!$D26/Data!$D$23))/2)^3))*Data!$I$23/Time_scale</f>
        <v>#DIV/0!</v>
      </c>
      <c r="S23" s="24" t="e">
        <f>(PI() * SQRT(((1+(Data!$D26/Data!$D$24))/2)^3))*Data!$I$24/Time_scale</f>
        <v>#DIV/0!</v>
      </c>
      <c r="T23" s="24" t="e">
        <f>(PI() * SQRT(((1+(Data!$D26/Data!$D$25))/2)^3))*Data!$I$25/Time_scale</f>
        <v>#DIV/0!</v>
      </c>
      <c r="U23" s="27"/>
      <c r="V23" s="25" t="e">
        <f>1/((1/Data!E26)-(1/Data!$E$27))/Time_scale</f>
        <v>#DIV/0!</v>
      </c>
      <c r="W23" s="25" t="e">
        <f>1/((1/Data!E26)-(1/Data!$E$28))/Time_scale</f>
        <v>#DIV/0!</v>
      </c>
      <c r="X23" s="25" t="e">
        <f>1/((1/Data!E26)-(1/Data!$E$29))/Time_scale</f>
        <v>#DIV/0!</v>
      </c>
      <c r="Y23" s="25" t="e">
        <f>1/((1/Data!E26)-(1/Data!$E$30))/Time_scale</f>
        <v>#DIV/0!</v>
      </c>
      <c r="Z23" s="25" t="e">
        <f>1/((1/Data!E26)-(1/Data!$E$31))/Time_scale</f>
        <v>#DIV/0!</v>
      </c>
      <c r="AA23" s="25" t="e">
        <f>1/((1/Data!E26)-(1/Data!$E$32))/Time_scale</f>
        <v>#DIV/0!</v>
      </c>
      <c r="AB23" s="25" t="e">
        <f>1/((1/Data!E26)-(1/Data!$E$33))/Time_scale</f>
        <v>#DIV/0!</v>
      </c>
      <c r="AC23" s="25" t="e">
        <f>1/((1/Data!E26)-(1/Data!$E$34))/Time_scale</f>
        <v>#DIV/0!</v>
      </c>
      <c r="AD23" s="25" t="e">
        <f>1/((1/Data!E26)-(1/Data!$E$35))/Time_scale</f>
        <v>#DIV/0!</v>
      </c>
      <c r="AE23" s="25" t="e">
        <f>1/((1/Data!E26)-(1/Data!$E$36))/Time_scale</f>
        <v>#DIV/0!</v>
      </c>
      <c r="AF23" s="17" t="str">
        <f>Data!A26</f>
        <v>S20</v>
      </c>
    </row>
    <row r="24" spans="1:32" x14ac:dyDescent="0.35">
      <c r="A24" s="5" t="str">
        <f>Data!A27</f>
        <v>S21</v>
      </c>
      <c r="B24" s="26">
        <f>(PI() * SQRT(((1+(Data!$D27/Data!$D$7))/2)^3))*Data!$I$7/Time_scale</f>
        <v>4.2604028415690505E-2</v>
      </c>
      <c r="C24" s="26">
        <f>(PI() * SQRT(((1+(Data!$D27/Data!$D$8))/2)^3))*Data!$I$8/Time_scale</f>
        <v>0.10882318031250299</v>
      </c>
      <c r="D24" s="26">
        <f>(PI() * SQRT(((1+(Data!$D27/Data!$D$9))/2)^3))*Data!$I$9/Time_scale</f>
        <v>0.17689587612720087</v>
      </c>
      <c r="E24" s="26">
        <f>(PI() * SQRT(((1+(Data!$D27/Data!$D$10))/2)^3))*Data!$I$10/Time_scale</f>
        <v>0.33265493649380085</v>
      </c>
      <c r="F24" s="26">
        <f>(PI() * SQRT(((1+(Data!$D27/Data!$D$11))/2)^3))*Data!$I$11/Time_scale</f>
        <v>0.81420065473543279</v>
      </c>
      <c r="G24" s="26">
        <f>(PI() * SQRT(((1+(Data!$D27/Data!$D$12))/2)^3))*Data!$I$12/Time_scale</f>
        <v>2.1002298000153301</v>
      </c>
      <c r="H24" s="26">
        <f>(PI() * SQRT(((1+(Data!$D27/Data!$D$13))/2)^3))*Data!$I$13/Time_scale</f>
        <v>5.2472347894306317</v>
      </c>
      <c r="I24" s="26">
        <f>(PI() * SQRT(((1+(Data!$D27/Data!$D$14))/2)^3))*Data!$I$14/Time_scale</f>
        <v>14.883370835964092</v>
      </c>
      <c r="J24" s="26">
        <f>(PI() * SQRT(((1+(Data!$D27/Data!$D$15))/2)^3))*Data!$I$15/Time_scale</f>
        <v>29.135572613007405</v>
      </c>
      <c r="K24" s="26">
        <f>(PI() * SQRT(((1+(Data!$D27/Data!$D$16))/2)^3))*Data!$I$16/Time_scale</f>
        <v>43.475014596203522</v>
      </c>
      <c r="L24" s="26" t="e">
        <f>(PI() * SQRT(((1+(Data!$D27/Data!$D$17))/2)^3))*Data!$I$17/Time_scale</f>
        <v>#DIV/0!</v>
      </c>
      <c r="M24" s="26" t="e">
        <f>(PI() * SQRT(((1+(Data!$D27/Data!$D$18))/2)^3))*Data!$I$18/Time_scale</f>
        <v>#DIV/0!</v>
      </c>
      <c r="N24" s="26" t="e">
        <f>(PI() * SQRT(((1+(Data!$D27/Data!$D$19))/2)^3))*Data!$I$19/Time_scale</f>
        <v>#DIV/0!</v>
      </c>
      <c r="O24" s="26" t="e">
        <f>(PI() * SQRT(((1+(Data!$D27/Data!$D$20))/2)^3))*Data!$I$20/Time_scale</f>
        <v>#DIV/0!</v>
      </c>
      <c r="P24" s="26" t="e">
        <f>(PI() * SQRT(((1+(Data!$D27/Data!$D$21))/2)^3))*Data!$I$21/Time_scale</f>
        <v>#DIV/0!</v>
      </c>
      <c r="Q24" s="26" t="e">
        <f>(PI() * SQRT(((1+(Data!$D27/Data!$D$22))/2)^3))*Data!$I$22/Time_scale</f>
        <v>#DIV/0!</v>
      </c>
      <c r="R24" s="26" t="e">
        <f>(PI() * SQRT(((1+(Data!$D27/Data!$D$23))/2)^3))*Data!$I$23/Time_scale</f>
        <v>#DIV/0!</v>
      </c>
      <c r="S24" s="26" t="e">
        <f>(PI() * SQRT(((1+(Data!$D27/Data!$D$24))/2)^3))*Data!$I$24/Time_scale</f>
        <v>#DIV/0!</v>
      </c>
      <c r="T24" s="26" t="e">
        <f>(PI() * SQRT(((1+(Data!$D27/Data!$D$25))/2)^3))*Data!$I$25/Time_scale</f>
        <v>#DIV/0!</v>
      </c>
      <c r="U24" s="26" t="e">
        <f>(PI() * SQRT(((1+(Data!$D27/Data!$D$26))/2)^3))*Data!$I$26/Time_scale</f>
        <v>#DIV/0!</v>
      </c>
      <c r="V24" s="27"/>
      <c r="W24" s="23" t="e">
        <f>1/((1/Data!E27)-(1/Data!$E$28))/Time_scale</f>
        <v>#DIV/0!</v>
      </c>
      <c r="X24" s="23" t="e">
        <f>1/((1/Data!E27)-(1/Data!$E$29))/Time_scale</f>
        <v>#DIV/0!</v>
      </c>
      <c r="Y24" s="23" t="e">
        <f>1/((1/Data!E27)-(1/Data!$E$30))/Time_scale</f>
        <v>#DIV/0!</v>
      </c>
      <c r="Z24" s="23" t="e">
        <f>1/((1/Data!E27)-(1/Data!$E$31))/Time_scale</f>
        <v>#DIV/0!</v>
      </c>
      <c r="AA24" s="23" t="e">
        <f>1/((1/Data!E27)-(1/Data!$E$32))/Time_scale</f>
        <v>#DIV/0!</v>
      </c>
      <c r="AB24" s="23" t="e">
        <f>1/((1/Data!E27)-(1/Data!$E$33))/Time_scale</f>
        <v>#DIV/0!</v>
      </c>
      <c r="AC24" s="23" t="e">
        <f>1/((1/Data!E27)-(1/Data!$E$34))/Time_scale</f>
        <v>#DIV/0!</v>
      </c>
      <c r="AD24" s="23" t="e">
        <f>1/((1/Data!E27)-(1/Data!$E$35))/Time_scale</f>
        <v>#DIV/0!</v>
      </c>
      <c r="AE24" s="23" t="e">
        <f>1/((1/Data!E27)-(1/Data!$E$36))/Time_scale</f>
        <v>#DIV/0!</v>
      </c>
      <c r="AF24" s="17" t="str">
        <f>Data!A27</f>
        <v>S21</v>
      </c>
    </row>
    <row r="25" spans="1:32" x14ac:dyDescent="0.35">
      <c r="A25" s="5" t="str">
        <f>Data!A28</f>
        <v>S22</v>
      </c>
      <c r="B25" s="24">
        <f>(PI() * SQRT(((1+(Data!$D28/Data!$D$7))/2)^3))*Data!$I$7/Time_scale</f>
        <v>4.2604028415690505E-2</v>
      </c>
      <c r="C25" s="24">
        <f>(PI() * SQRT(((1+(Data!$D28/Data!$D$8))/2)^3))*Data!$I$8/Time_scale</f>
        <v>0.10882318031250299</v>
      </c>
      <c r="D25" s="24">
        <f>(PI() * SQRT(((1+(Data!$D28/Data!$D$9))/2)^3))*Data!$I$9/Time_scale</f>
        <v>0.17689587612720087</v>
      </c>
      <c r="E25" s="24">
        <f>(PI() * SQRT(((1+(Data!$D28/Data!$D$10))/2)^3))*Data!$I$10/Time_scale</f>
        <v>0.33265493649380085</v>
      </c>
      <c r="F25" s="24">
        <f>(PI() * SQRT(((1+(Data!$D28/Data!$D$11))/2)^3))*Data!$I$11/Time_scale</f>
        <v>0.81420065473543279</v>
      </c>
      <c r="G25" s="24">
        <f>(PI() * SQRT(((1+(Data!$D28/Data!$D$12))/2)^3))*Data!$I$12/Time_scale</f>
        <v>2.1002298000153301</v>
      </c>
      <c r="H25" s="24">
        <f>(PI() * SQRT(((1+(Data!$D28/Data!$D$13))/2)^3))*Data!$I$13/Time_scale</f>
        <v>5.2472347894306317</v>
      </c>
      <c r="I25" s="24">
        <f>(PI() * SQRT(((1+(Data!$D28/Data!$D$14))/2)^3))*Data!$I$14/Time_scale</f>
        <v>14.883370835964092</v>
      </c>
      <c r="J25" s="24">
        <f>(PI() * SQRT(((1+(Data!$D28/Data!$D$15))/2)^3))*Data!$I$15/Time_scale</f>
        <v>29.135572613007405</v>
      </c>
      <c r="K25" s="24">
        <f>(PI() * SQRT(((1+(Data!$D28/Data!$D$16))/2)^3))*Data!$I$16/Time_scale</f>
        <v>43.475014596203522</v>
      </c>
      <c r="L25" s="24" t="e">
        <f>(PI() * SQRT(((1+(Data!$D28/Data!$D$17))/2)^3))*Data!$I$17/Time_scale</f>
        <v>#DIV/0!</v>
      </c>
      <c r="M25" s="24" t="e">
        <f>(PI() * SQRT(((1+(Data!$D28/Data!$D$18))/2)^3))*Data!$I$18/Time_scale</f>
        <v>#DIV/0!</v>
      </c>
      <c r="N25" s="24" t="e">
        <f>(PI() * SQRT(((1+(Data!$D28/Data!$D$19))/2)^3))*Data!$I$19/Time_scale</f>
        <v>#DIV/0!</v>
      </c>
      <c r="O25" s="24" t="e">
        <f>(PI() * SQRT(((1+(Data!$D28/Data!$D$20))/2)^3))*Data!$I$20/Time_scale</f>
        <v>#DIV/0!</v>
      </c>
      <c r="P25" s="24" t="e">
        <f>(PI() * SQRT(((1+(Data!$D28/Data!$D$21))/2)^3))*Data!$I$21/Time_scale</f>
        <v>#DIV/0!</v>
      </c>
      <c r="Q25" s="24" t="e">
        <f>(PI() * SQRT(((1+(Data!$D28/Data!$D$22))/2)^3))*Data!$I$22/Time_scale</f>
        <v>#DIV/0!</v>
      </c>
      <c r="R25" s="24" t="e">
        <f>(PI() * SQRT(((1+(Data!$D28/Data!$D$23))/2)^3))*Data!$I$23/Time_scale</f>
        <v>#DIV/0!</v>
      </c>
      <c r="S25" s="24" t="e">
        <f>(PI() * SQRT(((1+(Data!$D28/Data!$D$24))/2)^3))*Data!$I$24/Time_scale</f>
        <v>#DIV/0!</v>
      </c>
      <c r="T25" s="24" t="e">
        <f>(PI() * SQRT(((1+(Data!$D28/Data!$D$25))/2)^3))*Data!$I$25/Time_scale</f>
        <v>#DIV/0!</v>
      </c>
      <c r="U25" s="24" t="e">
        <f>(PI() * SQRT(((1+(Data!$D28/Data!$D$26))/2)^3))*Data!$I$26/Time_scale</f>
        <v>#DIV/0!</v>
      </c>
      <c r="V25" s="24" t="e">
        <f>(PI() * SQRT(((1+(Data!$D28/Data!$D$27))/2)^3))*Data!$I$27/Time_scale</f>
        <v>#DIV/0!</v>
      </c>
      <c r="W25" s="27"/>
      <c r="X25" s="25" t="e">
        <f>1/((1/Data!E28)-(1/Data!$E$29))/Time_scale</f>
        <v>#DIV/0!</v>
      </c>
      <c r="Y25" s="25" t="e">
        <f>1/((1/Data!E28)-(1/Data!$E$30))/Time_scale</f>
        <v>#DIV/0!</v>
      </c>
      <c r="Z25" s="25" t="e">
        <f>1/((1/Data!E28)-(1/Data!$E$31))/Time_scale</f>
        <v>#DIV/0!</v>
      </c>
      <c r="AA25" s="25" t="e">
        <f>1/((1/Data!E28)-(1/Data!$E$32))/Time_scale</f>
        <v>#DIV/0!</v>
      </c>
      <c r="AB25" s="25" t="e">
        <f>1/((1/Data!E28)-(1/Data!$E$33))/Time_scale</f>
        <v>#DIV/0!</v>
      </c>
      <c r="AC25" s="25" t="e">
        <f>1/((1/Data!E28)-(1/Data!$E$34))/Time_scale</f>
        <v>#DIV/0!</v>
      </c>
      <c r="AD25" s="25" t="e">
        <f>1/((1/Data!E28)-(1/Data!$E$35))/Time_scale</f>
        <v>#DIV/0!</v>
      </c>
      <c r="AE25" s="25" t="e">
        <f>1/((1/Data!E28)-(1/Data!$E$36))/Time_scale</f>
        <v>#DIV/0!</v>
      </c>
      <c r="AF25" s="17" t="str">
        <f>Data!A28</f>
        <v>S22</v>
      </c>
    </row>
    <row r="26" spans="1:32" x14ac:dyDescent="0.35">
      <c r="A26" s="5" t="str">
        <f>Data!A29</f>
        <v>S23</v>
      </c>
      <c r="B26" s="26">
        <f>(PI() * SQRT(((1+(Data!$D29/Data!$D$7))/2)^3))*Data!$I$7/Time_scale</f>
        <v>4.2604028415690505E-2</v>
      </c>
      <c r="C26" s="26">
        <f>(PI() * SQRT(((1+(Data!$D29/Data!$D$8))/2)^3))*Data!$I$8/Time_scale</f>
        <v>0.10882318031250299</v>
      </c>
      <c r="D26" s="26">
        <f>(PI() * SQRT(((1+(Data!$D29/Data!$D$9))/2)^3))*Data!$I$9/Time_scale</f>
        <v>0.17689587612720087</v>
      </c>
      <c r="E26" s="26">
        <f>(PI() * SQRT(((1+(Data!$D29/Data!$D$10))/2)^3))*Data!$I$10/Time_scale</f>
        <v>0.33265493649380085</v>
      </c>
      <c r="F26" s="26">
        <f>(PI() * SQRT(((1+(Data!$D29/Data!$D$11))/2)^3))*Data!$I$11/Time_scale</f>
        <v>0.81420065473543279</v>
      </c>
      <c r="G26" s="26">
        <f>(PI() * SQRT(((1+(Data!$D29/Data!$D$12))/2)^3))*Data!$I$12/Time_scale</f>
        <v>2.1002298000153301</v>
      </c>
      <c r="H26" s="26">
        <f>(PI() * SQRT(((1+(Data!$D29/Data!$D$13))/2)^3))*Data!$I$13/Time_scale</f>
        <v>5.2472347894306317</v>
      </c>
      <c r="I26" s="26">
        <f>(PI() * SQRT(((1+(Data!$D29/Data!$D$14))/2)^3))*Data!$I$14/Time_scale</f>
        <v>14.883370835964092</v>
      </c>
      <c r="J26" s="26">
        <f>(PI() * SQRT(((1+(Data!$D29/Data!$D$15))/2)^3))*Data!$I$15/Time_scale</f>
        <v>29.135572613007405</v>
      </c>
      <c r="K26" s="26">
        <f>(PI() * SQRT(((1+(Data!$D29/Data!$D$16))/2)^3))*Data!$I$16/Time_scale</f>
        <v>43.475014596203522</v>
      </c>
      <c r="L26" s="26" t="e">
        <f>(PI() * SQRT(((1+(Data!$D29/Data!$D$17))/2)^3))*Data!$I$17/Time_scale</f>
        <v>#DIV/0!</v>
      </c>
      <c r="M26" s="26" t="e">
        <f>(PI() * SQRT(((1+(Data!$D29/Data!$D$18))/2)^3))*Data!$I$18/Time_scale</f>
        <v>#DIV/0!</v>
      </c>
      <c r="N26" s="26" t="e">
        <f>(PI() * SQRT(((1+(Data!$D29/Data!$D$19))/2)^3))*Data!$I$19/Time_scale</f>
        <v>#DIV/0!</v>
      </c>
      <c r="O26" s="26" t="e">
        <f>(PI() * SQRT(((1+(Data!$D29/Data!$D$20))/2)^3))*Data!$I$20/Time_scale</f>
        <v>#DIV/0!</v>
      </c>
      <c r="P26" s="26" t="e">
        <f>(PI() * SQRT(((1+(Data!$D29/Data!$D$21))/2)^3))*Data!$I$21/Time_scale</f>
        <v>#DIV/0!</v>
      </c>
      <c r="Q26" s="26" t="e">
        <f>(PI() * SQRT(((1+(Data!$D29/Data!$D$22))/2)^3))*Data!$I$22/Time_scale</f>
        <v>#DIV/0!</v>
      </c>
      <c r="R26" s="26" t="e">
        <f>(PI() * SQRT(((1+(Data!$D29/Data!$D$23))/2)^3))*Data!$I$23/Time_scale</f>
        <v>#DIV/0!</v>
      </c>
      <c r="S26" s="26" t="e">
        <f>(PI() * SQRT(((1+(Data!$D29/Data!$D$24))/2)^3))*Data!$I$24/Time_scale</f>
        <v>#DIV/0!</v>
      </c>
      <c r="T26" s="26" t="e">
        <f>(PI() * SQRT(((1+(Data!$D29/Data!$D$25))/2)^3))*Data!$I$25/Time_scale</f>
        <v>#DIV/0!</v>
      </c>
      <c r="U26" s="26" t="e">
        <f>(PI() * SQRT(((1+(Data!$D29/Data!$D$26))/2)^3))*Data!$I$26/Time_scale</f>
        <v>#DIV/0!</v>
      </c>
      <c r="V26" s="26" t="e">
        <f>(PI() * SQRT(((1+(Data!$D29/Data!$D$27))/2)^3))*Data!$I$27/Time_scale</f>
        <v>#DIV/0!</v>
      </c>
      <c r="W26" s="26" t="e">
        <f>(PI() * SQRT(((1+(Data!$D29/Data!$D$28))/2)^3))*Data!$I$28/Time_scale</f>
        <v>#DIV/0!</v>
      </c>
      <c r="X26" s="27"/>
      <c r="Y26" s="23" t="e">
        <f>1/((1/Data!E29)-(1/Data!$E$30))/Time_scale</f>
        <v>#DIV/0!</v>
      </c>
      <c r="Z26" s="23" t="e">
        <f>1/((1/Data!E29)-(1/Data!$E$31))/Time_scale</f>
        <v>#DIV/0!</v>
      </c>
      <c r="AA26" s="23" t="e">
        <f>1/((1/Data!E29)-(1/Data!$E$32))/Time_scale</f>
        <v>#DIV/0!</v>
      </c>
      <c r="AB26" s="23" t="e">
        <f>1/((1/Data!E29)-(1/Data!$E$33))/Time_scale</f>
        <v>#DIV/0!</v>
      </c>
      <c r="AC26" s="23" t="e">
        <f>1/((1/Data!E29)-(1/Data!$E$34))/Time_scale</f>
        <v>#DIV/0!</v>
      </c>
      <c r="AD26" s="23" t="e">
        <f>1/((1/Data!E29)-(1/Data!$E$35))/Time_scale</f>
        <v>#DIV/0!</v>
      </c>
      <c r="AE26" s="23" t="e">
        <f>1/((1/Data!E29)-(1/Data!$E$36))/Time_scale</f>
        <v>#DIV/0!</v>
      </c>
      <c r="AF26" s="17" t="str">
        <f>Data!A29</f>
        <v>S23</v>
      </c>
    </row>
    <row r="27" spans="1:32" x14ac:dyDescent="0.35">
      <c r="A27" s="5" t="str">
        <f>Data!A30</f>
        <v>S24</v>
      </c>
      <c r="B27" s="24">
        <f>(PI() * SQRT(((1+(Data!$D30/Data!$D$7))/2)^3))*Data!$I$7/Time_scale</f>
        <v>4.2604028415690505E-2</v>
      </c>
      <c r="C27" s="24">
        <f>(PI() * SQRT(((1+(Data!$D30/Data!$D$8))/2)^3))*Data!$I$8/Time_scale</f>
        <v>0.10882318031250299</v>
      </c>
      <c r="D27" s="24">
        <f>(PI() * SQRT(((1+(Data!$D30/Data!$D$9))/2)^3))*Data!$I$9/Time_scale</f>
        <v>0.17689587612720087</v>
      </c>
      <c r="E27" s="24">
        <f>(PI() * SQRT(((1+(Data!$D30/Data!$D$10))/2)^3))*Data!$I$10/Time_scale</f>
        <v>0.33265493649380085</v>
      </c>
      <c r="F27" s="24">
        <f>(PI() * SQRT(((1+(Data!$D30/Data!$D$11))/2)^3))*Data!$I$11/Time_scale</f>
        <v>0.81420065473543279</v>
      </c>
      <c r="G27" s="24">
        <f>(PI() * SQRT(((1+(Data!$D30/Data!$D$12))/2)^3))*Data!$I$12/Time_scale</f>
        <v>2.1002298000153301</v>
      </c>
      <c r="H27" s="24">
        <f>(PI() * SQRT(((1+(Data!$D30/Data!$D$13))/2)^3))*Data!$I$13/Time_scale</f>
        <v>5.2472347894306317</v>
      </c>
      <c r="I27" s="24">
        <f>(PI() * SQRT(((1+(Data!$D30/Data!$D$14))/2)^3))*Data!$I$14/Time_scale</f>
        <v>14.883370835964092</v>
      </c>
      <c r="J27" s="24">
        <f>(PI() * SQRT(((1+(Data!$D30/Data!$D$15))/2)^3))*Data!$I$15/Time_scale</f>
        <v>29.135572613007405</v>
      </c>
      <c r="K27" s="24">
        <f>(PI() * SQRT(((1+(Data!$D30/Data!$D$16))/2)^3))*Data!$I$16/Time_scale</f>
        <v>43.475014596203522</v>
      </c>
      <c r="L27" s="24" t="e">
        <f>(PI() * SQRT(((1+(Data!$D30/Data!$D$17))/2)^3))*Data!$I$17/Time_scale</f>
        <v>#DIV/0!</v>
      </c>
      <c r="M27" s="24" t="e">
        <f>(PI() * SQRT(((1+(Data!$D30/Data!$D$18))/2)^3))*Data!$I$18/Time_scale</f>
        <v>#DIV/0!</v>
      </c>
      <c r="N27" s="24" t="e">
        <f>(PI() * SQRT(((1+(Data!$D30/Data!$D$19))/2)^3))*Data!$I$19/Time_scale</f>
        <v>#DIV/0!</v>
      </c>
      <c r="O27" s="24" t="e">
        <f>(PI() * SQRT(((1+(Data!$D30/Data!$D$20))/2)^3))*Data!$I$20/Time_scale</f>
        <v>#DIV/0!</v>
      </c>
      <c r="P27" s="24" t="e">
        <f>(PI() * SQRT(((1+(Data!$D30/Data!$D$21))/2)^3))*Data!$I$21/Time_scale</f>
        <v>#DIV/0!</v>
      </c>
      <c r="Q27" s="24" t="e">
        <f>(PI() * SQRT(((1+(Data!$D30/Data!$D$22))/2)^3))*Data!$I$22/Time_scale</f>
        <v>#DIV/0!</v>
      </c>
      <c r="R27" s="24" t="e">
        <f>(PI() * SQRT(((1+(Data!$D30/Data!$D$23))/2)^3))*Data!$I$23/Time_scale</f>
        <v>#DIV/0!</v>
      </c>
      <c r="S27" s="24" t="e">
        <f>(PI() * SQRT(((1+(Data!$D30/Data!$D$24))/2)^3))*Data!$I$24/Time_scale</f>
        <v>#DIV/0!</v>
      </c>
      <c r="T27" s="24" t="e">
        <f>(PI() * SQRT(((1+(Data!$D30/Data!$D$25))/2)^3))*Data!$I$25/Time_scale</f>
        <v>#DIV/0!</v>
      </c>
      <c r="U27" s="24" t="e">
        <f>(PI() * SQRT(((1+(Data!$D30/Data!$D$26))/2)^3))*Data!$I$26/Time_scale</f>
        <v>#DIV/0!</v>
      </c>
      <c r="V27" s="24" t="e">
        <f>(PI() * SQRT(((1+(Data!$D30/Data!$D$27))/2)^3))*Data!$I$27/Time_scale</f>
        <v>#DIV/0!</v>
      </c>
      <c r="W27" s="24" t="e">
        <f>(PI() * SQRT(((1+(Data!$D30/Data!$D$28))/2)^3))*Data!$I$28/Time_scale</f>
        <v>#DIV/0!</v>
      </c>
      <c r="X27" s="24" t="e">
        <f>(PI() * SQRT(((1+(Data!$D30/Data!$D$29))/2)^3))*Data!$I$29/Time_scale</f>
        <v>#DIV/0!</v>
      </c>
      <c r="Y27" s="27"/>
      <c r="Z27" s="25" t="e">
        <f>1/((1/Data!E30)-(1/Data!$E$31))/Time_scale</f>
        <v>#DIV/0!</v>
      </c>
      <c r="AA27" s="25" t="e">
        <f>1/((1/Data!E30)-(1/Data!$E$32))/Time_scale</f>
        <v>#DIV/0!</v>
      </c>
      <c r="AB27" s="25" t="e">
        <f>1/((1/Data!E30)-(1/Data!$E$33))/Time_scale</f>
        <v>#DIV/0!</v>
      </c>
      <c r="AC27" s="25" t="e">
        <f>1/((1/Data!E30)-(1/Data!$E$34))/Time_scale</f>
        <v>#DIV/0!</v>
      </c>
      <c r="AD27" s="25" t="e">
        <f>1/((1/Data!E30)-(1/Data!$E$35))/Time_scale</f>
        <v>#DIV/0!</v>
      </c>
      <c r="AE27" s="25" t="e">
        <f>1/((1/Data!E30)-(1/Data!$E$36))/Time_scale</f>
        <v>#DIV/0!</v>
      </c>
      <c r="AF27" s="17" t="str">
        <f>Data!A30</f>
        <v>S24</v>
      </c>
    </row>
    <row r="28" spans="1:32" x14ac:dyDescent="0.35">
      <c r="A28" s="5" t="str">
        <f>Data!A31</f>
        <v>S25</v>
      </c>
      <c r="B28" s="26">
        <f>(PI() * SQRT(((1+(Data!$D31/Data!$D$7))/2)^3))*Data!$I$7/Time_scale</f>
        <v>4.2604028415690505E-2</v>
      </c>
      <c r="C28" s="26">
        <f>(PI() * SQRT(((1+(Data!$D31/Data!$D$8))/2)^3))*Data!$I$8/Time_scale</f>
        <v>0.10882318031250299</v>
      </c>
      <c r="D28" s="26">
        <f>(PI() * SQRT(((1+(Data!$D31/Data!$D$9))/2)^3))*Data!$I$9/Time_scale</f>
        <v>0.17689587612720087</v>
      </c>
      <c r="E28" s="26">
        <f>(PI() * SQRT(((1+(Data!$D31/Data!$D$10))/2)^3))*Data!$I$10/Time_scale</f>
        <v>0.33265493649380085</v>
      </c>
      <c r="F28" s="26">
        <f>(PI() * SQRT(((1+(Data!$D31/Data!$D$11))/2)^3))*Data!$I$11/Time_scale</f>
        <v>0.81420065473543279</v>
      </c>
      <c r="G28" s="26">
        <f>(PI() * SQRT(((1+(Data!$D31/Data!$D$12))/2)^3))*Data!$I$12/Time_scale</f>
        <v>2.1002298000153301</v>
      </c>
      <c r="H28" s="26">
        <f>(PI() * SQRT(((1+(Data!$D31/Data!$D$13))/2)^3))*Data!$I$13/Time_scale</f>
        <v>5.2472347894306317</v>
      </c>
      <c r="I28" s="26">
        <f>(PI() * SQRT(((1+(Data!$D31/Data!$D$14))/2)^3))*Data!$I$14/Time_scale</f>
        <v>14.883370835964092</v>
      </c>
      <c r="J28" s="26">
        <f>(PI() * SQRT(((1+(Data!$D31/Data!$D$15))/2)^3))*Data!$I$15/Time_scale</f>
        <v>29.135572613007405</v>
      </c>
      <c r="K28" s="26">
        <f>(PI() * SQRT(((1+(Data!$D31/Data!$D$16))/2)^3))*Data!$I$16/Time_scale</f>
        <v>43.475014596203522</v>
      </c>
      <c r="L28" s="26" t="e">
        <f>(PI() * SQRT(((1+(Data!$D31/Data!$D$17))/2)^3))*Data!$I$17/Time_scale</f>
        <v>#DIV/0!</v>
      </c>
      <c r="M28" s="26" t="e">
        <f>(PI() * SQRT(((1+(Data!$D31/Data!$D$18))/2)^3))*Data!$I$18/Time_scale</f>
        <v>#DIV/0!</v>
      </c>
      <c r="N28" s="26" t="e">
        <f>(PI() * SQRT(((1+(Data!$D31/Data!$D$19))/2)^3))*Data!$I$19/Time_scale</f>
        <v>#DIV/0!</v>
      </c>
      <c r="O28" s="26" t="e">
        <f>(PI() * SQRT(((1+(Data!$D31/Data!$D$20))/2)^3))*Data!$I$20/Time_scale</f>
        <v>#DIV/0!</v>
      </c>
      <c r="P28" s="26" t="e">
        <f>(PI() * SQRT(((1+(Data!$D31/Data!$D$21))/2)^3))*Data!$I$21/Time_scale</f>
        <v>#DIV/0!</v>
      </c>
      <c r="Q28" s="26" t="e">
        <f>(PI() * SQRT(((1+(Data!$D31/Data!$D$22))/2)^3))*Data!$I$22/Time_scale</f>
        <v>#DIV/0!</v>
      </c>
      <c r="R28" s="26" t="e">
        <f>(PI() * SQRT(((1+(Data!$D31/Data!$D$23))/2)^3))*Data!$I$23/Time_scale</f>
        <v>#DIV/0!</v>
      </c>
      <c r="S28" s="26" t="e">
        <f>(PI() * SQRT(((1+(Data!$D31/Data!$D$24))/2)^3))*Data!$I$24/Time_scale</f>
        <v>#DIV/0!</v>
      </c>
      <c r="T28" s="26" t="e">
        <f>(PI() * SQRT(((1+(Data!$D31/Data!$D$25))/2)^3))*Data!$I$25/Time_scale</f>
        <v>#DIV/0!</v>
      </c>
      <c r="U28" s="26" t="e">
        <f>(PI() * SQRT(((1+(Data!$D31/Data!$D$26))/2)^3))*Data!$I$26/Time_scale</f>
        <v>#DIV/0!</v>
      </c>
      <c r="V28" s="26" t="e">
        <f>(PI() * SQRT(((1+(Data!$D31/Data!$D$27))/2)^3))*Data!$I$27/Time_scale</f>
        <v>#DIV/0!</v>
      </c>
      <c r="W28" s="26" t="e">
        <f>(PI() * SQRT(((1+(Data!$D31/Data!$D$28))/2)^3))*Data!$I$28/Time_scale</f>
        <v>#DIV/0!</v>
      </c>
      <c r="X28" s="26" t="e">
        <f>(PI() * SQRT(((1+(Data!$D31/Data!$D$29))/2)^3))*Data!$I$29/Time_scale</f>
        <v>#DIV/0!</v>
      </c>
      <c r="Y28" s="26" t="e">
        <f>(PI() * SQRT(((1+(Data!$D31/Data!$D$30))/2)^3))*Data!$I$30/Time_scale</f>
        <v>#DIV/0!</v>
      </c>
      <c r="Z28" s="27"/>
      <c r="AA28" s="23" t="e">
        <f>1/((1/Data!E31)-(1/Data!$E$32))/Time_scale</f>
        <v>#DIV/0!</v>
      </c>
      <c r="AB28" s="23" t="e">
        <f>1/((1/Data!E31)-(1/Data!$E$33))/Time_scale</f>
        <v>#DIV/0!</v>
      </c>
      <c r="AC28" s="23" t="e">
        <f>1/((1/Data!E31)-(1/Data!$E$34))/Time_scale</f>
        <v>#DIV/0!</v>
      </c>
      <c r="AD28" s="23" t="e">
        <f>1/((1/Data!E31)-(1/Data!$E$35))/Time_scale</f>
        <v>#DIV/0!</v>
      </c>
      <c r="AE28" s="23" t="e">
        <f>1/((1/Data!E31)-(1/Data!$E$36))/Time_scale</f>
        <v>#DIV/0!</v>
      </c>
      <c r="AF28" s="17" t="str">
        <f>Data!A31</f>
        <v>S25</v>
      </c>
    </row>
    <row r="29" spans="1:32" x14ac:dyDescent="0.35">
      <c r="A29" s="5" t="str">
        <f>Data!A32</f>
        <v>S26</v>
      </c>
      <c r="B29" s="24">
        <f>(PI() * SQRT(((1+(Data!$D32/Data!$D$7))/2)^3))*Data!$I$7/Time_scale</f>
        <v>4.2604028415690505E-2</v>
      </c>
      <c r="C29" s="24">
        <f>(PI() * SQRT(((1+(Data!$D32/Data!$D$8))/2)^3))*Data!$I$8/Time_scale</f>
        <v>0.10882318031250299</v>
      </c>
      <c r="D29" s="24">
        <f>(PI() * SQRT(((1+(Data!$D32/Data!$D$9))/2)^3))*Data!$I$9/Time_scale</f>
        <v>0.17689587612720087</v>
      </c>
      <c r="E29" s="24">
        <f>(PI() * SQRT(((1+(Data!$D32/Data!$D$10))/2)^3))*Data!$I$10/Time_scale</f>
        <v>0.33265493649380085</v>
      </c>
      <c r="F29" s="24">
        <f>(PI() * SQRT(((1+(Data!$D32/Data!$D$11))/2)^3))*Data!$I$11/Time_scale</f>
        <v>0.81420065473543279</v>
      </c>
      <c r="G29" s="24">
        <f>(PI() * SQRT(((1+(Data!$D32/Data!$D$12))/2)^3))*Data!$I$12/Time_scale</f>
        <v>2.1002298000153301</v>
      </c>
      <c r="H29" s="24">
        <f>(PI() * SQRT(((1+(Data!$D32/Data!$D$13))/2)^3))*Data!$I$13/Time_scale</f>
        <v>5.2472347894306317</v>
      </c>
      <c r="I29" s="24">
        <f>(PI() * SQRT(((1+(Data!$D32/Data!$D$14))/2)^3))*Data!$I$14/Time_scale</f>
        <v>14.883370835964092</v>
      </c>
      <c r="J29" s="24">
        <f>(PI() * SQRT(((1+(Data!$D32/Data!$D$15))/2)^3))*Data!$I$15/Time_scale</f>
        <v>29.135572613007405</v>
      </c>
      <c r="K29" s="24">
        <f>(PI() * SQRT(((1+(Data!$D32/Data!$D$16))/2)^3))*Data!$I$16/Time_scale</f>
        <v>43.475014596203522</v>
      </c>
      <c r="L29" s="24" t="e">
        <f>(PI() * SQRT(((1+(Data!$D32/Data!$D$17))/2)^3))*Data!$I$17/Time_scale</f>
        <v>#DIV/0!</v>
      </c>
      <c r="M29" s="24" t="e">
        <f>(PI() * SQRT(((1+(Data!$D32/Data!$D$18))/2)^3))*Data!$I$18/Time_scale</f>
        <v>#DIV/0!</v>
      </c>
      <c r="N29" s="24" t="e">
        <f>(PI() * SQRT(((1+(Data!$D32/Data!$D$19))/2)^3))*Data!$I$19/Time_scale</f>
        <v>#DIV/0!</v>
      </c>
      <c r="O29" s="24" t="e">
        <f>(PI() * SQRT(((1+(Data!$D32/Data!$D$20))/2)^3))*Data!$I$20/Time_scale</f>
        <v>#DIV/0!</v>
      </c>
      <c r="P29" s="24" t="e">
        <f>(PI() * SQRT(((1+(Data!$D32/Data!$D$21))/2)^3))*Data!$I$21/Time_scale</f>
        <v>#DIV/0!</v>
      </c>
      <c r="Q29" s="24" t="e">
        <f>(PI() * SQRT(((1+(Data!$D32/Data!$D$22))/2)^3))*Data!$I$22/Time_scale</f>
        <v>#DIV/0!</v>
      </c>
      <c r="R29" s="24" t="e">
        <f>(PI() * SQRT(((1+(Data!$D32/Data!$D$23))/2)^3))*Data!$I$23/Time_scale</f>
        <v>#DIV/0!</v>
      </c>
      <c r="S29" s="24" t="e">
        <f>(PI() * SQRT(((1+(Data!$D32/Data!$D$24))/2)^3))*Data!$I$24/Time_scale</f>
        <v>#DIV/0!</v>
      </c>
      <c r="T29" s="24" t="e">
        <f>(PI() * SQRT(((1+(Data!$D32/Data!$D$25))/2)^3))*Data!$I$25/Time_scale</f>
        <v>#DIV/0!</v>
      </c>
      <c r="U29" s="24" t="e">
        <f>(PI() * SQRT(((1+(Data!$D32/Data!$D$26))/2)^3))*Data!$I$26/Time_scale</f>
        <v>#DIV/0!</v>
      </c>
      <c r="V29" s="24" t="e">
        <f>(PI() * SQRT(((1+(Data!$D32/Data!$D$27))/2)^3))*Data!$I$27/Time_scale</f>
        <v>#DIV/0!</v>
      </c>
      <c r="W29" s="24" t="e">
        <f>(PI() * SQRT(((1+(Data!$D32/Data!$D$28))/2)^3))*Data!$I$28/Time_scale</f>
        <v>#DIV/0!</v>
      </c>
      <c r="X29" s="24" t="e">
        <f>(PI() * SQRT(((1+(Data!$D32/Data!$D$29))/2)^3))*Data!$I$29/Time_scale</f>
        <v>#DIV/0!</v>
      </c>
      <c r="Y29" s="24" t="e">
        <f>(PI() * SQRT(((1+(Data!$D32/Data!$D$30))/2)^3))*Data!$I$30/Time_scale</f>
        <v>#DIV/0!</v>
      </c>
      <c r="Z29" s="24" t="e">
        <f>(PI() * SQRT(((1+(Data!$D32/Data!$D$31))/2)^3))*Data!$I$31/Time_scale</f>
        <v>#DIV/0!</v>
      </c>
      <c r="AA29" s="27"/>
      <c r="AB29" s="25" t="e">
        <f>1/((1/Data!E32)-(1/Data!$E$33))/Time_scale</f>
        <v>#DIV/0!</v>
      </c>
      <c r="AC29" s="25" t="e">
        <f>1/((1/Data!E32)-(1/Data!$E$34))/Time_scale</f>
        <v>#DIV/0!</v>
      </c>
      <c r="AD29" s="25" t="e">
        <f>1/((1/Data!E32)-(1/Data!$E$35))/Time_scale</f>
        <v>#DIV/0!</v>
      </c>
      <c r="AE29" s="25" t="e">
        <f>1/((1/Data!E32)-(1/Data!$E$36))/Time_scale</f>
        <v>#DIV/0!</v>
      </c>
      <c r="AF29" s="17" t="str">
        <f>Data!A32</f>
        <v>S26</v>
      </c>
    </row>
    <row r="30" spans="1:32" x14ac:dyDescent="0.35">
      <c r="A30" s="5" t="str">
        <f>Data!A33</f>
        <v>S27</v>
      </c>
      <c r="B30" s="26">
        <f>(PI() * SQRT(((1+(Data!$D33/Data!$D$7))/2)^3))*Data!$I$7/Time_scale</f>
        <v>4.2604028415690505E-2</v>
      </c>
      <c r="C30" s="26">
        <f>(PI() * SQRT(((1+(Data!$D33/Data!$D$8))/2)^3))*Data!$I$8/Time_scale</f>
        <v>0.10882318031250299</v>
      </c>
      <c r="D30" s="26">
        <f>(PI() * SQRT(((1+(Data!$D33/Data!$D$9))/2)^3))*Data!$I$9/Time_scale</f>
        <v>0.17689587612720087</v>
      </c>
      <c r="E30" s="26">
        <f>(PI() * SQRT(((1+(Data!$D33/Data!$D$10))/2)^3))*Data!$I$10/Time_scale</f>
        <v>0.33265493649380085</v>
      </c>
      <c r="F30" s="26">
        <f>(PI() * SQRT(((1+(Data!$D33/Data!$D$11))/2)^3))*Data!$I$11/Time_scale</f>
        <v>0.81420065473543279</v>
      </c>
      <c r="G30" s="26">
        <f>(PI() * SQRT(((1+(Data!$D33/Data!$D$12))/2)^3))*Data!$I$12/Time_scale</f>
        <v>2.1002298000153301</v>
      </c>
      <c r="H30" s="26">
        <f>(PI() * SQRT(((1+(Data!$D33/Data!$D$13))/2)^3))*Data!$I$13/Time_scale</f>
        <v>5.2472347894306317</v>
      </c>
      <c r="I30" s="26">
        <f>(PI() * SQRT(((1+(Data!$D33/Data!$D$14))/2)^3))*Data!$I$14/Time_scale</f>
        <v>14.883370835964092</v>
      </c>
      <c r="J30" s="26">
        <f>(PI() * SQRT(((1+(Data!$D33/Data!$D$15))/2)^3))*Data!$I$15/Time_scale</f>
        <v>29.135572613007405</v>
      </c>
      <c r="K30" s="26">
        <f>(PI() * SQRT(((1+(Data!$D33/Data!$D$16))/2)^3))*Data!$I$16/Time_scale</f>
        <v>43.475014596203522</v>
      </c>
      <c r="L30" s="26" t="e">
        <f>(PI() * SQRT(((1+(Data!$D33/Data!$D$17))/2)^3))*Data!$I$17/Time_scale</f>
        <v>#DIV/0!</v>
      </c>
      <c r="M30" s="26" t="e">
        <f>(PI() * SQRT(((1+(Data!$D33/Data!$D$18))/2)^3))*Data!$I$18/Time_scale</f>
        <v>#DIV/0!</v>
      </c>
      <c r="N30" s="26" t="e">
        <f>(PI() * SQRT(((1+(Data!$D33/Data!$D$19))/2)^3))*Data!$I$19/Time_scale</f>
        <v>#DIV/0!</v>
      </c>
      <c r="O30" s="26" t="e">
        <f>(PI() * SQRT(((1+(Data!$D33/Data!$D$20))/2)^3))*Data!$I$20/Time_scale</f>
        <v>#DIV/0!</v>
      </c>
      <c r="P30" s="26" t="e">
        <f>(PI() * SQRT(((1+(Data!$D33/Data!$D$21))/2)^3))*Data!$I$21/Time_scale</f>
        <v>#DIV/0!</v>
      </c>
      <c r="Q30" s="26" t="e">
        <f>(PI() * SQRT(((1+(Data!$D33/Data!$D$22))/2)^3))*Data!$I$22/Time_scale</f>
        <v>#DIV/0!</v>
      </c>
      <c r="R30" s="26" t="e">
        <f>(PI() * SQRT(((1+(Data!$D33/Data!$D$23))/2)^3))*Data!$I$23/Time_scale</f>
        <v>#DIV/0!</v>
      </c>
      <c r="S30" s="26" t="e">
        <f>(PI() * SQRT(((1+(Data!$D33/Data!$D$24))/2)^3))*Data!$I$24/Time_scale</f>
        <v>#DIV/0!</v>
      </c>
      <c r="T30" s="26" t="e">
        <f>(PI() * SQRT(((1+(Data!$D33/Data!$D$25))/2)^3))*Data!$I$25/Time_scale</f>
        <v>#DIV/0!</v>
      </c>
      <c r="U30" s="26" t="e">
        <f>(PI() * SQRT(((1+(Data!$D33/Data!$D$26))/2)^3))*Data!$I$26/Time_scale</f>
        <v>#DIV/0!</v>
      </c>
      <c r="V30" s="26" t="e">
        <f>(PI() * SQRT(((1+(Data!$D33/Data!$D$27))/2)^3))*Data!$I$27/Time_scale</f>
        <v>#DIV/0!</v>
      </c>
      <c r="W30" s="26" t="e">
        <f>(PI() * SQRT(((1+(Data!$D33/Data!$D$28))/2)^3))*Data!$I$28/Time_scale</f>
        <v>#DIV/0!</v>
      </c>
      <c r="X30" s="26" t="e">
        <f>(PI() * SQRT(((1+(Data!$D33/Data!$D$29))/2)^3))*Data!$I$29/Time_scale</f>
        <v>#DIV/0!</v>
      </c>
      <c r="Y30" s="26" t="e">
        <f>(PI() * SQRT(((1+(Data!$D33/Data!$D$30))/2)^3))*Data!$I$30/Time_scale</f>
        <v>#DIV/0!</v>
      </c>
      <c r="Z30" s="26" t="e">
        <f>(PI() * SQRT(((1+(Data!$D33/Data!$D$31))/2)^3))*Data!$I$31/Time_scale</f>
        <v>#DIV/0!</v>
      </c>
      <c r="AA30" s="26" t="e">
        <f>(PI() * SQRT(((1+(Data!$D33/Data!$D$32))/2)^3))*Data!$I$32/Time_scale</f>
        <v>#DIV/0!</v>
      </c>
      <c r="AB30" s="27"/>
      <c r="AC30" s="23" t="e">
        <f>1/((1/Data!E33)-(1/Data!$E$34))/Time_scale</f>
        <v>#DIV/0!</v>
      </c>
      <c r="AD30" s="23" t="e">
        <f>1/((1/Data!E33)-(1/Data!$E$35))/Time_scale</f>
        <v>#DIV/0!</v>
      </c>
      <c r="AE30" s="23" t="e">
        <f>1/((1/Data!E33)-(1/Data!$E$36))/Time_scale</f>
        <v>#DIV/0!</v>
      </c>
      <c r="AF30" s="17" t="str">
        <f>Data!A33</f>
        <v>S27</v>
      </c>
    </row>
    <row r="31" spans="1:32" x14ac:dyDescent="0.35">
      <c r="A31" s="5" t="str">
        <f>Data!A34</f>
        <v>S28</v>
      </c>
      <c r="B31" s="24">
        <f>(PI() * SQRT(((1+(Data!$D34/Data!$D$7))/2)^3))*Data!$I$7/Time_scale</f>
        <v>4.2604028415690505E-2</v>
      </c>
      <c r="C31" s="24">
        <f>(PI() * SQRT(((1+(Data!$D34/Data!$D$8))/2)^3))*Data!$I$8/Time_scale</f>
        <v>0.10882318031250299</v>
      </c>
      <c r="D31" s="24">
        <f>(PI() * SQRT(((1+(Data!$D34/Data!$D$9))/2)^3))*Data!$I$9/Time_scale</f>
        <v>0.17689587612720087</v>
      </c>
      <c r="E31" s="24">
        <f>(PI() * SQRT(((1+(Data!$D34/Data!$D$10))/2)^3))*Data!$I$10/Time_scale</f>
        <v>0.33265493649380085</v>
      </c>
      <c r="F31" s="24">
        <f>(PI() * SQRT(((1+(Data!$D34/Data!$D$11))/2)^3))*Data!$I$11/Time_scale</f>
        <v>0.81420065473543279</v>
      </c>
      <c r="G31" s="24">
        <f>(PI() * SQRT(((1+(Data!$D34/Data!$D$12))/2)^3))*Data!$I$12/Time_scale</f>
        <v>2.1002298000153301</v>
      </c>
      <c r="H31" s="24">
        <f>(PI() * SQRT(((1+(Data!$D34/Data!$D$13))/2)^3))*Data!$I$13/Time_scale</f>
        <v>5.2472347894306317</v>
      </c>
      <c r="I31" s="24">
        <f>(PI() * SQRT(((1+(Data!$D34/Data!$D$14))/2)^3))*Data!$I$14/Time_scale</f>
        <v>14.883370835964092</v>
      </c>
      <c r="J31" s="24">
        <f>(PI() * SQRT(((1+(Data!$D34/Data!$D$15))/2)^3))*Data!$I$15/Time_scale</f>
        <v>29.135572613007405</v>
      </c>
      <c r="K31" s="24">
        <f>(PI() * SQRT(((1+(Data!$D34/Data!$D$16))/2)^3))*Data!$I$16/Time_scale</f>
        <v>43.475014596203522</v>
      </c>
      <c r="L31" s="24" t="e">
        <f>(PI() * SQRT(((1+(Data!$D34/Data!$D$17))/2)^3))*Data!$I$17/Time_scale</f>
        <v>#DIV/0!</v>
      </c>
      <c r="M31" s="24" t="e">
        <f>(PI() * SQRT(((1+(Data!$D34/Data!$D$18))/2)^3))*Data!$I$18/Time_scale</f>
        <v>#DIV/0!</v>
      </c>
      <c r="N31" s="24" t="e">
        <f>(PI() * SQRT(((1+(Data!$D34/Data!$D$19))/2)^3))*Data!$I$19/Time_scale</f>
        <v>#DIV/0!</v>
      </c>
      <c r="O31" s="24" t="e">
        <f>(PI() * SQRT(((1+(Data!$D34/Data!$D$20))/2)^3))*Data!$I$20/Time_scale</f>
        <v>#DIV/0!</v>
      </c>
      <c r="P31" s="24" t="e">
        <f>(PI() * SQRT(((1+(Data!$D34/Data!$D$21))/2)^3))*Data!$I$21/Time_scale</f>
        <v>#DIV/0!</v>
      </c>
      <c r="Q31" s="24" t="e">
        <f>(PI() * SQRT(((1+(Data!$D34/Data!$D$22))/2)^3))*Data!$I$22/Time_scale</f>
        <v>#DIV/0!</v>
      </c>
      <c r="R31" s="24" t="e">
        <f>(PI() * SQRT(((1+(Data!$D34/Data!$D$23))/2)^3))*Data!$I$23/Time_scale</f>
        <v>#DIV/0!</v>
      </c>
      <c r="S31" s="24" t="e">
        <f>(PI() * SQRT(((1+(Data!$D34/Data!$D$24))/2)^3))*Data!$I$24/Time_scale</f>
        <v>#DIV/0!</v>
      </c>
      <c r="T31" s="24" t="e">
        <f>(PI() * SQRT(((1+(Data!$D34/Data!$D$25))/2)^3))*Data!$I$25/Time_scale</f>
        <v>#DIV/0!</v>
      </c>
      <c r="U31" s="24" t="e">
        <f>(PI() * SQRT(((1+(Data!$D34/Data!$D$26))/2)^3))*Data!$I$26/Time_scale</f>
        <v>#DIV/0!</v>
      </c>
      <c r="V31" s="24" t="e">
        <f>(PI() * SQRT(((1+(Data!$D34/Data!$D$27))/2)^3))*Data!$I$27/Time_scale</f>
        <v>#DIV/0!</v>
      </c>
      <c r="W31" s="24" t="e">
        <f>(PI() * SQRT(((1+(Data!$D34/Data!$D$28))/2)^3))*Data!$I$28/Time_scale</f>
        <v>#DIV/0!</v>
      </c>
      <c r="X31" s="24" t="e">
        <f>(PI() * SQRT(((1+(Data!$D34/Data!$D$29))/2)^3))*Data!$I$29/Time_scale</f>
        <v>#DIV/0!</v>
      </c>
      <c r="Y31" s="24" t="e">
        <f>(PI() * SQRT(((1+(Data!$D34/Data!$D$30))/2)^3))*Data!$I$30/Time_scale</f>
        <v>#DIV/0!</v>
      </c>
      <c r="Z31" s="24" t="e">
        <f>(PI() * SQRT(((1+(Data!$D34/Data!$D$31))/2)^3))*Data!$I$31/Time_scale</f>
        <v>#DIV/0!</v>
      </c>
      <c r="AA31" s="24" t="e">
        <f>(PI() * SQRT(((1+(Data!$D34/Data!$D$32))/2)^3))*Data!$I$32/Time_scale</f>
        <v>#DIV/0!</v>
      </c>
      <c r="AB31" s="24" t="e">
        <f>(PI() * SQRT(((1+(Data!$D34/Data!$D$33))/2)^3))*Data!$I$33/Time_scale</f>
        <v>#DIV/0!</v>
      </c>
      <c r="AC31" s="27"/>
      <c r="AD31" s="25" t="e">
        <f>1/((1/Data!E34)-(1/Data!$E$35))/Time_scale</f>
        <v>#DIV/0!</v>
      </c>
      <c r="AE31" s="25" t="e">
        <f>1/((1/Data!E34)-(1/Data!$E$36))/Time_scale</f>
        <v>#DIV/0!</v>
      </c>
      <c r="AF31" s="17" t="str">
        <f>Data!A34</f>
        <v>S28</v>
      </c>
    </row>
    <row r="32" spans="1:32" x14ac:dyDescent="0.35">
      <c r="A32" s="5" t="str">
        <f>Data!A35</f>
        <v>S29</v>
      </c>
      <c r="B32" s="26">
        <f>(PI() * SQRT(((1+(Data!$D35/Data!$D$7))/2)^3))*Data!$I$7/Time_scale</f>
        <v>4.2604028415690505E-2</v>
      </c>
      <c r="C32" s="26">
        <f>(PI() * SQRT(((1+(Data!$D35/Data!$D$8))/2)^3))*Data!$I$8/Time_scale</f>
        <v>0.10882318031250299</v>
      </c>
      <c r="D32" s="26">
        <f>(PI() * SQRT(((1+(Data!$D35/Data!$D$9))/2)^3))*Data!$I$9/Time_scale</f>
        <v>0.17689587612720087</v>
      </c>
      <c r="E32" s="26">
        <f>(PI() * SQRT(((1+(Data!$D35/Data!$D$10))/2)^3))*Data!$I$10/Time_scale</f>
        <v>0.33265493649380085</v>
      </c>
      <c r="F32" s="26">
        <f>(PI() * SQRT(((1+(Data!$D35/Data!$D$11))/2)^3))*Data!$I$11/Time_scale</f>
        <v>0.81420065473543279</v>
      </c>
      <c r="G32" s="26">
        <f>(PI() * SQRT(((1+(Data!$D35/Data!$D$12))/2)^3))*Data!$I$12/Time_scale</f>
        <v>2.1002298000153301</v>
      </c>
      <c r="H32" s="26">
        <f>(PI() * SQRT(((1+(Data!$D35/Data!$D$13))/2)^3))*Data!$I$13/Time_scale</f>
        <v>5.2472347894306317</v>
      </c>
      <c r="I32" s="26">
        <f>(PI() * SQRT(((1+(Data!$D35/Data!$D$14))/2)^3))*Data!$I$14/Time_scale</f>
        <v>14.883370835964092</v>
      </c>
      <c r="J32" s="26">
        <f>(PI() * SQRT(((1+(Data!$D35/Data!$D$15))/2)^3))*Data!$I$15/Time_scale</f>
        <v>29.135572613007405</v>
      </c>
      <c r="K32" s="26">
        <f>(PI() * SQRT(((1+(Data!$D35/Data!$D$16))/2)^3))*Data!$I$16/Time_scale</f>
        <v>43.475014596203522</v>
      </c>
      <c r="L32" s="26" t="e">
        <f>(PI() * SQRT(((1+(Data!$D35/Data!$D$17))/2)^3))*Data!$I$17/Time_scale</f>
        <v>#DIV/0!</v>
      </c>
      <c r="M32" s="26" t="e">
        <f>(PI() * SQRT(((1+(Data!$D35/Data!$D$18))/2)^3))*Data!$I$18/Time_scale</f>
        <v>#DIV/0!</v>
      </c>
      <c r="N32" s="26" t="e">
        <f>(PI() * SQRT(((1+(Data!$D35/Data!$D$19))/2)^3))*Data!$I$19/Time_scale</f>
        <v>#DIV/0!</v>
      </c>
      <c r="O32" s="26" t="e">
        <f>(PI() * SQRT(((1+(Data!$D35/Data!$D$20))/2)^3))*Data!$I$20/Time_scale</f>
        <v>#DIV/0!</v>
      </c>
      <c r="P32" s="26" t="e">
        <f>(PI() * SQRT(((1+(Data!$D35/Data!$D$21))/2)^3))*Data!$I$21/Time_scale</f>
        <v>#DIV/0!</v>
      </c>
      <c r="Q32" s="26" t="e">
        <f>(PI() * SQRT(((1+(Data!$D35/Data!$D$22))/2)^3))*Data!$I$22/Time_scale</f>
        <v>#DIV/0!</v>
      </c>
      <c r="R32" s="26" t="e">
        <f>(PI() * SQRT(((1+(Data!$D35/Data!$D$23))/2)^3))*Data!$I$23/Time_scale</f>
        <v>#DIV/0!</v>
      </c>
      <c r="S32" s="26" t="e">
        <f>(PI() * SQRT(((1+(Data!$D35/Data!$D$24))/2)^3))*Data!$I$24/Time_scale</f>
        <v>#DIV/0!</v>
      </c>
      <c r="T32" s="26" t="e">
        <f>(PI() * SQRT(((1+(Data!$D35/Data!$D$25))/2)^3))*Data!$I$25/Time_scale</f>
        <v>#DIV/0!</v>
      </c>
      <c r="U32" s="26" t="e">
        <f>(PI() * SQRT(((1+(Data!$D35/Data!$D$26))/2)^3))*Data!$I$26/Time_scale</f>
        <v>#DIV/0!</v>
      </c>
      <c r="V32" s="26" t="e">
        <f>(PI() * SQRT(((1+(Data!$D35/Data!$D$27))/2)^3))*Data!$I$27/Time_scale</f>
        <v>#DIV/0!</v>
      </c>
      <c r="W32" s="26" t="e">
        <f>(PI() * SQRT(((1+(Data!$D35/Data!$D$28))/2)^3))*Data!$I$28/Time_scale</f>
        <v>#DIV/0!</v>
      </c>
      <c r="X32" s="26" t="e">
        <f>(PI() * SQRT(((1+(Data!$D35/Data!$D$29))/2)^3))*Data!$I$29/Time_scale</f>
        <v>#DIV/0!</v>
      </c>
      <c r="Y32" s="26" t="e">
        <f>(PI() * SQRT(((1+(Data!$D35/Data!$D$30))/2)^3))*Data!$I$30/Time_scale</f>
        <v>#DIV/0!</v>
      </c>
      <c r="Z32" s="26" t="e">
        <f>(PI() * SQRT(((1+(Data!$D35/Data!$D$31))/2)^3))*Data!$I$31/Time_scale</f>
        <v>#DIV/0!</v>
      </c>
      <c r="AA32" s="26" t="e">
        <f>(PI() * SQRT(((1+(Data!$D35/Data!$D$32))/2)^3))*Data!$I$32/Time_scale</f>
        <v>#DIV/0!</v>
      </c>
      <c r="AB32" s="26" t="e">
        <f>(PI() * SQRT(((1+(Data!$D35/Data!$D$33))/2)^3))*Data!$I$33/Time_scale</f>
        <v>#DIV/0!</v>
      </c>
      <c r="AC32" s="26" t="e">
        <f>(PI() * SQRT(((1+(Data!$D35/Data!$D$34))/2)^3))*Data!$I$34/Time_scale</f>
        <v>#DIV/0!</v>
      </c>
      <c r="AD32" s="27"/>
      <c r="AE32" s="23" t="e">
        <f>1/((1/Data!E35)-(1/Data!$E$36))/Time_scale</f>
        <v>#DIV/0!</v>
      </c>
      <c r="AF32" s="17" t="str">
        <f>Data!A35</f>
        <v>S29</v>
      </c>
    </row>
    <row r="33" spans="1:32" x14ac:dyDescent="0.35">
      <c r="A33" s="5" t="str">
        <f>Data!A36</f>
        <v>S30</v>
      </c>
      <c r="B33" s="24">
        <f>(PI() * SQRT(((1+(Data!$D36/Data!$D$7))/2)^3))*Data!$I$7/Time_scale</f>
        <v>4.2604028415690505E-2</v>
      </c>
      <c r="C33" s="24">
        <f>(PI() * SQRT(((1+(Data!$D36/Data!$D$8))/2)^3))*Data!$I$8/Time_scale</f>
        <v>0.10882318031250299</v>
      </c>
      <c r="D33" s="24">
        <f>(PI() * SQRT(((1+(Data!$D36/Data!$D$9))/2)^3))*Data!$I$9/Time_scale</f>
        <v>0.17689587612720087</v>
      </c>
      <c r="E33" s="24">
        <f>(PI() * SQRT(((1+(Data!$D36/Data!$D$10))/2)^3))*Data!$I$10/Time_scale</f>
        <v>0.33265493649380085</v>
      </c>
      <c r="F33" s="24">
        <f>(PI() * SQRT(((1+(Data!$D36/Data!$D$11))/2)^3))*Data!$I$11/Time_scale</f>
        <v>0.81420065473543279</v>
      </c>
      <c r="G33" s="24">
        <f>(PI() * SQRT(((1+(Data!$D36/Data!$D$12))/2)^3))*Data!$I$12/Time_scale</f>
        <v>2.1002298000153301</v>
      </c>
      <c r="H33" s="24">
        <f>(PI() * SQRT(((1+(Data!$D36/Data!$D$13))/2)^3))*Data!$I$13/Time_scale</f>
        <v>5.2472347894306317</v>
      </c>
      <c r="I33" s="24">
        <f>(PI() * SQRT(((1+(Data!$D36/Data!$D$14))/2)^3))*Data!$I$14/Time_scale</f>
        <v>14.883370835964092</v>
      </c>
      <c r="J33" s="24">
        <f>(PI() * SQRT(((1+(Data!$D36/Data!$D$15))/2)^3))*Data!$I$15/Time_scale</f>
        <v>29.135572613007405</v>
      </c>
      <c r="K33" s="24">
        <f>(PI() * SQRT(((1+(Data!$D36/Data!$D$16))/2)^3))*Data!$I$16/Time_scale</f>
        <v>43.475014596203522</v>
      </c>
      <c r="L33" s="24" t="e">
        <f>(PI() * SQRT(((1+(Data!$D36/Data!$D$17))/2)^3))*Data!$I$17/Time_scale</f>
        <v>#DIV/0!</v>
      </c>
      <c r="M33" s="24" t="e">
        <f>(PI() * SQRT(((1+(Data!$D36/Data!$D$18))/2)^3))*Data!$I$18/Time_scale</f>
        <v>#DIV/0!</v>
      </c>
      <c r="N33" s="24" t="e">
        <f>(PI() * SQRT(((1+(Data!$D36/Data!$D$19))/2)^3))*Data!$I$19/Time_scale</f>
        <v>#DIV/0!</v>
      </c>
      <c r="O33" s="24" t="e">
        <f>(PI() * SQRT(((1+(Data!$D36/Data!$D$20))/2)^3))*Data!$I$20/Time_scale</f>
        <v>#DIV/0!</v>
      </c>
      <c r="P33" s="24" t="e">
        <f>(PI() * SQRT(((1+(Data!$D36/Data!$D$21))/2)^3))*Data!$I$21/Time_scale</f>
        <v>#DIV/0!</v>
      </c>
      <c r="Q33" s="24" t="e">
        <f>(PI() * SQRT(((1+(Data!$D36/Data!$D$22))/2)^3))*Data!$I$22/Time_scale</f>
        <v>#DIV/0!</v>
      </c>
      <c r="R33" s="24" t="e">
        <f>(PI() * SQRT(((1+(Data!$D36/Data!$D$23))/2)^3))*Data!$I$23/Time_scale</f>
        <v>#DIV/0!</v>
      </c>
      <c r="S33" s="24" t="e">
        <f>(PI() * SQRT(((1+(Data!$D36/Data!$D$24))/2)^3))*Data!$I$24/Time_scale</f>
        <v>#DIV/0!</v>
      </c>
      <c r="T33" s="24" t="e">
        <f>(PI() * SQRT(((1+(Data!$D36/Data!$D$25))/2)^3))*Data!$I$25/Time_scale</f>
        <v>#DIV/0!</v>
      </c>
      <c r="U33" s="24" t="e">
        <f>(PI() * SQRT(((1+(Data!$D36/Data!$D$26))/2)^3))*Data!$I$26/Time_scale</f>
        <v>#DIV/0!</v>
      </c>
      <c r="V33" s="24" t="e">
        <f>(PI() * SQRT(((1+(Data!$D36/Data!$D$27))/2)^3))*Data!$I$27/Time_scale</f>
        <v>#DIV/0!</v>
      </c>
      <c r="W33" s="24" t="e">
        <f>(PI() * SQRT(((1+(Data!$D36/Data!$D$28))/2)^3))*Data!$I$28/Time_scale</f>
        <v>#DIV/0!</v>
      </c>
      <c r="X33" s="24" t="e">
        <f>(PI() * SQRT(((1+(Data!$D36/Data!$D$29))/2)^3))*Data!$I$29/Time_scale</f>
        <v>#DIV/0!</v>
      </c>
      <c r="Y33" s="24" t="e">
        <f>(PI() * SQRT(((1+(Data!$D36/Data!$D$30))/2)^3))*Data!$I$30/Time_scale</f>
        <v>#DIV/0!</v>
      </c>
      <c r="Z33" s="24" t="e">
        <f>(PI() * SQRT(((1+(Data!$D36/Data!$D$31))/2)^3))*Data!$I$31/Time_scale</f>
        <v>#DIV/0!</v>
      </c>
      <c r="AA33" s="24" t="e">
        <f>(PI() * SQRT(((1+(Data!$D36/Data!$D$32))/2)^3))*Data!$I$32/Time_scale</f>
        <v>#DIV/0!</v>
      </c>
      <c r="AB33" s="24" t="e">
        <f>(PI() * SQRT(((1+(Data!$D36/Data!$D$33))/2)^3))*Data!$I$33/Time_scale</f>
        <v>#DIV/0!</v>
      </c>
      <c r="AC33" s="24" t="e">
        <f>(PI() * SQRT(((1+(Data!$D36/Data!$D$34))/2)^3))*Data!$I$34/Time_scale</f>
        <v>#DIV/0!</v>
      </c>
      <c r="AD33" s="24" t="e">
        <f>(PI() * SQRT(((1+(Data!$D36/Data!$D$35))/2)^3))*Data!$I$35/Time_scale</f>
        <v>#DIV/0!</v>
      </c>
      <c r="AE33" s="27"/>
      <c r="AF33" s="17" t="str">
        <f>Data!A36</f>
        <v>S30</v>
      </c>
    </row>
    <row r="34" spans="1:32" x14ac:dyDescent="0.35">
      <c r="B34" s="5" t="str">
        <f>Data!A7</f>
        <v>Mercury</v>
      </c>
      <c r="C34" s="5" t="str">
        <f>Data!A8</f>
        <v>Venus</v>
      </c>
      <c r="D34" s="5" t="str">
        <f>Data!A9</f>
        <v>Earth</v>
      </c>
      <c r="E34" s="5" t="str">
        <f>Data!A10</f>
        <v>Mars</v>
      </c>
      <c r="F34" s="5" t="str">
        <f>Data!A11</f>
        <v>Ceres</v>
      </c>
      <c r="G34" s="5" t="str">
        <f>Data!A12</f>
        <v>Jupiter</v>
      </c>
      <c r="H34" s="5" t="str">
        <f>Data!A13</f>
        <v>Saturn</v>
      </c>
      <c r="I34" s="5" t="str">
        <f>Data!A14</f>
        <v>Uranus</v>
      </c>
      <c r="J34" s="5" t="str">
        <f>Data!A15</f>
        <v>Neptune</v>
      </c>
      <c r="K34" s="5" t="str">
        <f>Data!A16</f>
        <v>Pluto</v>
      </c>
      <c r="L34" s="5" t="str">
        <f>Data!A17</f>
        <v>S11</v>
      </c>
      <c r="M34" s="5" t="str">
        <f>Data!A18</f>
        <v>S12</v>
      </c>
      <c r="N34" s="5" t="str">
        <f>Data!A19</f>
        <v>S13</v>
      </c>
      <c r="O34" s="5" t="str">
        <f>Data!A20</f>
        <v>S14</v>
      </c>
      <c r="P34" s="5" t="str">
        <f>Data!A21</f>
        <v>S15</v>
      </c>
      <c r="Q34" s="5" t="str">
        <f>Data!A22</f>
        <v>S16</v>
      </c>
      <c r="R34" s="5" t="str">
        <f>Data!A23</f>
        <v>S17</v>
      </c>
      <c r="S34" s="5" t="str">
        <f>Data!A24</f>
        <v>S18</v>
      </c>
      <c r="T34" s="5" t="str">
        <f>Data!A25</f>
        <v>S19</v>
      </c>
      <c r="U34" s="5" t="str">
        <f>Data!A26</f>
        <v>S20</v>
      </c>
      <c r="V34" s="5" t="str">
        <f>Data!A27</f>
        <v>S21</v>
      </c>
      <c r="W34" s="5" t="str">
        <f>Data!A28</f>
        <v>S22</v>
      </c>
      <c r="X34" s="5" t="str">
        <f>Data!A29</f>
        <v>S23</v>
      </c>
      <c r="Y34" s="5" t="str">
        <f>Data!A30</f>
        <v>S24</v>
      </c>
      <c r="Z34" s="5" t="str">
        <f>Data!A31</f>
        <v>S25</v>
      </c>
      <c r="AA34" s="5" t="str">
        <f>Data!A32</f>
        <v>S26</v>
      </c>
      <c r="AB34" s="5" t="str">
        <f>Data!A33</f>
        <v>S27</v>
      </c>
      <c r="AC34" s="5" t="str">
        <f>Data!A34</f>
        <v>S28</v>
      </c>
      <c r="AD34" s="5" t="str">
        <f>Data!A35</f>
        <v>S29</v>
      </c>
      <c r="AE34" s="5" t="str">
        <f>Data!A36</f>
        <v>S30</v>
      </c>
    </row>
    <row r="36" spans="1:32" ht="13.15" x14ac:dyDescent="0.4">
      <c r="A36" s="1">
        <v>31536000</v>
      </c>
      <c r="B36" s="4" t="s">
        <v>32</v>
      </c>
    </row>
    <row r="37" spans="1:32" x14ac:dyDescent="0.35">
      <c r="B37" s="44" t="s">
        <v>43</v>
      </c>
    </row>
    <row r="38" spans="1:32" x14ac:dyDescent="0.35">
      <c r="B38" s="43" t="s">
        <v>33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D236-F65A-4046-9982-EF0E6A079956}">
  <sheetPr codeName="Sheet5"/>
  <dimension ref="B2:G24"/>
  <sheetViews>
    <sheetView tabSelected="1" zoomScaleNormal="115" workbookViewId="0">
      <selection activeCell="D3" sqref="D3"/>
    </sheetView>
  </sheetViews>
  <sheetFormatPr defaultRowHeight="12.75" x14ac:dyDescent="0.35"/>
  <cols>
    <col min="4" max="4" width="9" customWidth="1"/>
    <col min="8" max="8" width="9.06640625" customWidth="1"/>
    <col min="10" max="10" width="9.06640625" customWidth="1"/>
  </cols>
  <sheetData>
    <row r="2" spans="2:7" x14ac:dyDescent="0.35">
      <c r="C2" s="81" t="s">
        <v>92</v>
      </c>
      <c r="D2">
        <v>50</v>
      </c>
      <c r="E2" s="61" t="s">
        <v>62</v>
      </c>
      <c r="G2" t="str">
        <f ca="1">porkchop(D19,D20,D21,D13,D14,D16,D17,D11*1000,D4*86400,D5*86400,D23,D24*86400,D2)</f>
        <v/>
      </c>
    </row>
    <row r="4" spans="2:7" x14ac:dyDescent="0.35">
      <c r="B4" s="79" t="s">
        <v>93</v>
      </c>
      <c r="C4" s="61" t="s">
        <v>94</v>
      </c>
      <c r="D4">
        <v>250</v>
      </c>
      <c r="E4" s="61" t="s">
        <v>96</v>
      </c>
    </row>
    <row r="5" spans="2:7" x14ac:dyDescent="0.35">
      <c r="B5" s="80"/>
      <c r="C5" s="61" t="s">
        <v>95</v>
      </c>
      <c r="D5">
        <v>2000</v>
      </c>
      <c r="E5" s="61" t="s">
        <v>96</v>
      </c>
    </row>
    <row r="8" spans="2:7" x14ac:dyDescent="0.35">
      <c r="B8" s="77" t="s">
        <v>97</v>
      </c>
      <c r="C8" s="78"/>
      <c r="D8">
        <v>3</v>
      </c>
      <c r="E8" t="str">
        <f ca="1">OFFSET(Data!A6,Porkchop!D8,0)</f>
        <v>Earth</v>
      </c>
    </row>
    <row r="9" spans="2:7" x14ac:dyDescent="0.35">
      <c r="B9" s="77" t="s">
        <v>98</v>
      </c>
      <c r="C9" s="78"/>
      <c r="D9">
        <v>6</v>
      </c>
      <c r="E9" t="str">
        <f ca="1">OFFSET(Data!A6,Porkchop!D9,0)</f>
        <v>Jupiter</v>
      </c>
    </row>
    <row r="10" spans="2:7" x14ac:dyDescent="0.35">
      <c r="B10" s="75"/>
      <c r="C10" s="76"/>
    </row>
    <row r="11" spans="2:7" x14ac:dyDescent="0.35">
      <c r="B11" s="77" t="s">
        <v>105</v>
      </c>
      <c r="C11" s="77"/>
      <c r="D11">
        <v>0</v>
      </c>
      <c r="E11" s="61" t="s">
        <v>64</v>
      </c>
    </row>
    <row r="13" spans="2:7" x14ac:dyDescent="0.35">
      <c r="B13" s="77" t="s">
        <v>72</v>
      </c>
      <c r="C13" t="str">
        <f ca="1">E8</f>
        <v>Earth</v>
      </c>
      <c r="D13" s="64">
        <f ca="1">OFFSET(Data!D6,Porkchop!D8,0)</f>
        <v>149600000000</v>
      </c>
      <c r="E13" s="61" t="s">
        <v>73</v>
      </c>
    </row>
    <row r="14" spans="2:7" x14ac:dyDescent="0.35">
      <c r="B14" s="77"/>
      <c r="C14" t="str">
        <f ca="1">E9</f>
        <v>Jupiter</v>
      </c>
      <c r="D14" s="64">
        <f ca="1">OFFSET(Data!D6,Porkchop!D9,0)</f>
        <v>778570000000</v>
      </c>
      <c r="E14" s="61" t="s">
        <v>73</v>
      </c>
    </row>
    <row r="16" spans="2:7" x14ac:dyDescent="0.35">
      <c r="B16" s="77" t="s">
        <v>99</v>
      </c>
      <c r="C16" t="str">
        <f ca="1">E8</f>
        <v>Earth</v>
      </c>
      <c r="D16">
        <f ca="1">OFFSET(Data!C6,Porkchop!D8,0)</f>
        <v>6371000</v>
      </c>
      <c r="E16" s="61" t="s">
        <v>73</v>
      </c>
    </row>
    <row r="17" spans="2:5" x14ac:dyDescent="0.35">
      <c r="B17" s="78"/>
      <c r="C17" t="str">
        <f ca="1">E9</f>
        <v>Jupiter</v>
      </c>
      <c r="D17">
        <f ca="1">OFFSET(Data!C6,Porkchop!D9,0)</f>
        <v>69911000</v>
      </c>
      <c r="E17" s="61" t="s">
        <v>73</v>
      </c>
    </row>
    <row r="19" spans="2:5" x14ac:dyDescent="0.35">
      <c r="B19" s="77" t="s">
        <v>100</v>
      </c>
      <c r="C19" t="str">
        <f>Data!C3</f>
        <v>Sol</v>
      </c>
      <c r="D19" s="64">
        <f>Data!B3</f>
        <v>1.9889999999999999E+30</v>
      </c>
      <c r="E19" s="61" t="s">
        <v>101</v>
      </c>
    </row>
    <row r="20" spans="2:5" x14ac:dyDescent="0.35">
      <c r="B20" s="78"/>
      <c r="C20" t="str">
        <f ca="1">E8</f>
        <v>Earth</v>
      </c>
      <c r="D20">
        <f ca="1">OFFSET(Data!$B$6,Porkchop!D8,0)</f>
        <v>5.9700000000000003E+24</v>
      </c>
      <c r="E20" s="61" t="s">
        <v>101</v>
      </c>
    </row>
    <row r="21" spans="2:5" x14ac:dyDescent="0.35">
      <c r="B21" s="78"/>
      <c r="C21" t="str">
        <f ca="1">E9</f>
        <v>Jupiter</v>
      </c>
      <c r="D21">
        <f ca="1">OFFSET(Data!$B$6,Porkchop!D9,0)</f>
        <v>1.899E+27</v>
      </c>
      <c r="E21" s="61" t="s">
        <v>101</v>
      </c>
    </row>
    <row r="23" spans="2:5" x14ac:dyDescent="0.35">
      <c r="B23" s="61" t="s">
        <v>102</v>
      </c>
      <c r="D23">
        <v>1</v>
      </c>
      <c r="E23" s="61" t="s">
        <v>103</v>
      </c>
    </row>
    <row r="24" spans="2:5" x14ac:dyDescent="0.35">
      <c r="B24" s="61" t="s">
        <v>104</v>
      </c>
      <c r="D24">
        <v>5</v>
      </c>
      <c r="E24" s="61" t="s">
        <v>77</v>
      </c>
    </row>
  </sheetData>
  <mergeCells count="7">
    <mergeCell ref="B19:B21"/>
    <mergeCell ref="B4:B5"/>
    <mergeCell ref="B8:C8"/>
    <mergeCell ref="B9:C9"/>
    <mergeCell ref="B13:B14"/>
    <mergeCell ref="B16:B17"/>
    <mergeCell ref="B11:C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Data</vt:lpstr>
      <vt:lpstr>delta V</vt:lpstr>
      <vt:lpstr>Transfer</vt:lpstr>
      <vt:lpstr>Transit Time</vt:lpstr>
      <vt:lpstr>Porkchop</vt:lpstr>
      <vt:lpstr>Transfer!Eccentricity</vt:lpstr>
      <vt:lpstr>G</vt:lpstr>
      <vt:lpstr>GM_primary</vt:lpstr>
      <vt:lpstr>orbit01</vt:lpstr>
      <vt:lpstr>orbit02</vt:lpstr>
      <vt:lpstr>orbit03</vt:lpstr>
      <vt:lpstr>orbit04</vt:lpstr>
      <vt:lpstr>orbit05</vt:lpstr>
      <vt:lpstr>orbit06</vt:lpstr>
      <vt:lpstr>orbit07</vt:lpstr>
      <vt:lpstr>orbit08</vt:lpstr>
      <vt:lpstr>orbit09</vt:lpstr>
      <vt:lpstr>orbit10</vt:lpstr>
      <vt:lpstr>orbit11</vt:lpstr>
      <vt:lpstr>orbit12</vt:lpstr>
      <vt:lpstr>orbit13</vt:lpstr>
      <vt:lpstr>orbit14</vt:lpstr>
      <vt:lpstr>orbit15</vt:lpstr>
      <vt:lpstr>orbit16</vt:lpstr>
      <vt:lpstr>orbit17</vt:lpstr>
      <vt:lpstr>orbit18</vt:lpstr>
      <vt:lpstr>orbit19</vt:lpstr>
      <vt:lpstr>orbit20</vt:lpstr>
      <vt:lpstr>orbit21</vt:lpstr>
      <vt:lpstr>orbit22</vt:lpstr>
      <vt:lpstr>orbit23</vt:lpstr>
      <vt:lpstr>orbit24</vt:lpstr>
      <vt:lpstr>orbit25</vt:lpstr>
      <vt:lpstr>orbit26</vt:lpstr>
      <vt:lpstr>orbit27</vt:lpstr>
      <vt:lpstr>orbit28</vt:lpstr>
      <vt:lpstr>orbit29</vt:lpstr>
      <vt:lpstr>orbit30</vt:lpstr>
      <vt:lpstr>Period</vt:lpstr>
      <vt:lpstr>SemiMajorAxis</vt:lpstr>
      <vt:lpstr>Time_scale</vt:lpstr>
    </vt:vector>
  </TitlesOfParts>
  <Company>ACT, Inc. -- Hunt Valley, 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Winchell Chung</dc:creator>
  <cp:lastModifiedBy>Fenix</cp:lastModifiedBy>
  <dcterms:created xsi:type="dcterms:W3CDTF">2002-10-04T15:13:48Z</dcterms:created>
  <dcterms:modified xsi:type="dcterms:W3CDTF">2020-04-27T03:21:15Z</dcterms:modified>
</cp:coreProperties>
</file>